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hremA.DUGDACON\Desktop\"/>
    </mc:Choice>
  </mc:AlternateContent>
  <xr:revisionPtr revIDLastSave="0" documentId="13_ncr:1_{58DBB1E2-6776-48C6-99B0-8BA4B0DDF3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une fleet Sumerry Report (4)" sheetId="1" r:id="rId1"/>
  </sheets>
  <calcPr calcId="181029"/>
</workbook>
</file>

<file path=xl/calcChain.xml><?xml version="1.0" encoding="utf-8"?>
<calcChain xmlns="http://schemas.openxmlformats.org/spreadsheetml/2006/main">
  <c r="M15" i="1" l="1"/>
  <c r="I15" i="1"/>
  <c r="M14" i="1"/>
  <c r="I14" i="1"/>
  <c r="N14" i="1" s="1"/>
  <c r="F14" i="1"/>
  <c r="M13" i="1"/>
  <c r="I13" i="1"/>
  <c r="N13" i="1" s="1"/>
  <c r="M12" i="1"/>
  <c r="I12" i="1"/>
  <c r="N12" i="1" s="1"/>
  <c r="M11" i="1"/>
  <c r="I11" i="1"/>
  <c r="M10" i="1"/>
  <c r="I10" i="1"/>
  <c r="M9" i="1"/>
  <c r="I9" i="1"/>
  <c r="M8" i="1"/>
  <c r="I8" i="1"/>
  <c r="I7" i="1"/>
  <c r="M6" i="1"/>
  <c r="I6" i="1"/>
  <c r="N6" i="1" s="1"/>
  <c r="N11" i="1" l="1"/>
  <c r="N15" i="1"/>
</calcChain>
</file>

<file path=xl/sharedStrings.xml><?xml version="1.0" encoding="utf-8"?>
<sst xmlns="http://schemas.openxmlformats.org/spreadsheetml/2006/main" count="59" uniqueCount="38">
  <si>
    <t>Item #</t>
  </si>
  <si>
    <t>Discription (Equipment type)</t>
  </si>
  <si>
    <t>Equipment ID(Plate No.)</t>
  </si>
  <si>
    <t>Starting KM at the beginning of the month</t>
  </si>
  <si>
    <t>Ending Km at the end of the month</t>
  </si>
  <si>
    <t>Km driven during the month</t>
  </si>
  <si>
    <t>Total KM drivern during the month</t>
  </si>
  <si>
    <t>Monthely fule consumption in liter</t>
  </si>
  <si>
    <t>Monthely fuel cost</t>
  </si>
  <si>
    <t>Total Fuel cost</t>
  </si>
  <si>
    <t>Liter</t>
  </si>
  <si>
    <t>Fule efficency=km/L</t>
  </si>
  <si>
    <t>Total Maintenance cost of the month</t>
  </si>
  <si>
    <t>#working days of the month</t>
  </si>
  <si>
    <t>vehicle avalible per month</t>
  </si>
  <si>
    <t># days vehicle under maintenance</t>
  </si>
  <si>
    <t># of Idle days of the month</t>
  </si>
  <si>
    <t>Vehicle condition</t>
  </si>
  <si>
    <t>Dump Truck</t>
  </si>
  <si>
    <t>3-33254</t>
  </si>
  <si>
    <t xml:space="preserve">Good </t>
  </si>
  <si>
    <t>3-47039</t>
  </si>
  <si>
    <t>3-47563</t>
  </si>
  <si>
    <t>3-47564</t>
  </si>
  <si>
    <t>3-54997</t>
  </si>
  <si>
    <t>3-85624</t>
  </si>
  <si>
    <t>ISUZU cargo</t>
  </si>
  <si>
    <t>3-29876</t>
  </si>
  <si>
    <t>PICK UP</t>
  </si>
  <si>
    <t>3-A02888</t>
  </si>
  <si>
    <t>3-A05321</t>
  </si>
  <si>
    <t>MINI BUS</t>
  </si>
  <si>
    <t>3-A93619</t>
  </si>
  <si>
    <t>Fleet Report For The month of November 2023</t>
  </si>
  <si>
    <t>Down in the month of November due to Colussion accident and by now under insurance maintenance process</t>
  </si>
  <si>
    <t>Down in the month of November and by now its working</t>
  </si>
  <si>
    <t xml:space="preserve">Down for the long due to Gearbox mainteanance </t>
  </si>
  <si>
    <t xml:space="preserve">KM Reading Is not working- waiting the sample to procure The odo meter Reader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</si>
</sst>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2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4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/>
    <xf numFmtId="0" fontId="3" fillId="2" borderId="3" xfId="0" applyFont="1" applyFill="1" applyBorder="1"/>
    <xf numFmtId="0" fontId="7" fillId="0" borderId="3" xfId="0" applyFont="1" applyBorder="1" applyAlignment="1">
      <alignment wrapText="1"/>
    </xf>
    <xf numFmtId="0" fontId="8" fillId="2" borderId="5" xfId="0" applyFont="1" applyFill="1" applyBorder="1"/>
    <xf numFmtId="164" fontId="8" fillId="2" borderId="3" xfId="1" applyFont="1" applyFill="1" applyBorder="1" applyAlignment="1">
      <alignment horizontal="right"/>
    </xf>
    <xf numFmtId="0" fontId="8" fillId="2" borderId="3" xfId="0" applyFont="1" applyFill="1" applyBorder="1"/>
    <xf numFmtId="164" fontId="8" fillId="2" borderId="3" xfId="1" applyFont="1" applyFill="1" applyBorder="1"/>
    <xf numFmtId="43" fontId="8" fillId="2" borderId="3" xfId="0" applyNumberFormat="1" applyFont="1" applyFill="1" applyBorder="1"/>
    <xf numFmtId="0" fontId="8" fillId="2" borderId="3" xfId="0" applyFont="1" applyFill="1" applyBorder="1" applyAlignment="1">
      <alignment vertical="center"/>
    </xf>
    <xf numFmtId="0" fontId="8" fillId="0" borderId="0" xfId="0" applyFont="1"/>
    <xf numFmtId="164" fontId="7" fillId="0" borderId="3" xfId="1" applyFont="1" applyBorder="1" applyAlignment="1">
      <alignment wrapText="1"/>
    </xf>
    <xf numFmtId="0" fontId="3" fillId="2" borderId="6" xfId="0" applyFont="1" applyFill="1" applyBorder="1"/>
    <xf numFmtId="164" fontId="7" fillId="0" borderId="3" xfId="1" applyFont="1" applyBorder="1" applyAlignment="1">
      <alignment horizontal="center" wrapText="1"/>
    </xf>
    <xf numFmtId="0" fontId="3" fillId="2" borderId="3" xfId="0" applyFont="1" applyFill="1" applyBorder="1" applyAlignment="1">
      <alignment horizontal="left"/>
    </xf>
    <xf numFmtId="164" fontId="8" fillId="2" borderId="3" xfId="1" applyFont="1" applyFill="1" applyBorder="1" applyAlignment="1">
      <alignment vertical="center"/>
    </xf>
    <xf numFmtId="164" fontId="8" fillId="2" borderId="3" xfId="1" applyFont="1" applyFill="1" applyBorder="1" applyAlignment="1"/>
    <xf numFmtId="0" fontId="9" fillId="0" borderId="0" xfId="0" applyFont="1"/>
    <xf numFmtId="0" fontId="3" fillId="2" borderId="0" xfId="0" applyFont="1" applyFill="1"/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DUGDA FLEET TOTAL KM DRIVEN , TOTAL FUEL COST AND TOTAL MAINTEANANCE COST ANALYSIS FOR THE MONTH OF  NOVEMBER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0264928007722073E-2"/>
          <c:y val="0.11058441558441559"/>
          <c:w val="0.8988837666574313"/>
          <c:h val="0.7896896410675938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'June fleet Sumerry Report (4)'!$I$5</c:f>
              <c:strCache>
                <c:ptCount val="1"/>
                <c:pt idx="0">
                  <c:v>Total KM drivern during the month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'June fleet Sumerry Report (4)'!$C$6:$C$15</c:f>
              <c:strCache>
                <c:ptCount val="10"/>
                <c:pt idx="0">
                  <c:v>3-33254</c:v>
                </c:pt>
                <c:pt idx="1">
                  <c:v>3-47039</c:v>
                </c:pt>
                <c:pt idx="2">
                  <c:v>3-47563</c:v>
                </c:pt>
                <c:pt idx="3">
                  <c:v>3-47564</c:v>
                </c:pt>
                <c:pt idx="4">
                  <c:v>3-54997</c:v>
                </c:pt>
                <c:pt idx="5">
                  <c:v>3-85624</c:v>
                </c:pt>
                <c:pt idx="6">
                  <c:v>3-29876</c:v>
                </c:pt>
                <c:pt idx="7">
                  <c:v>3-A02888</c:v>
                </c:pt>
                <c:pt idx="8">
                  <c:v>3-A05321</c:v>
                </c:pt>
                <c:pt idx="9">
                  <c:v>3-A93619</c:v>
                </c:pt>
              </c:strCache>
            </c:strRef>
          </c:cat>
          <c:val>
            <c:numRef>
              <c:f>'June fleet Sumerry Report (4)'!$I$6:$I$15</c:f>
              <c:numCache>
                <c:formatCode>_-* #,##0.00_-;\-* #,##0.00_-;_-* "-"??_-;_-@_-</c:formatCode>
                <c:ptCount val="10"/>
                <c:pt idx="0">
                  <c:v>1846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552</c:v>
                </c:pt>
                <c:pt idx="6">
                  <c:v>2361</c:v>
                </c:pt>
                <c:pt idx="7">
                  <c:v>3192</c:v>
                </c:pt>
                <c:pt idx="8">
                  <c:v>2403</c:v>
                </c:pt>
                <c:pt idx="9">
                  <c:v>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7-43EE-8F0B-622A7BBC0091}"/>
            </c:ext>
          </c:extLst>
        </c:ser>
        <c:ser>
          <c:idx val="6"/>
          <c:order val="1"/>
          <c:tx>
            <c:strRef>
              <c:f>'June fleet Sumerry Report (4)'!$L$5:$O$5</c:f>
              <c:strCache>
                <c:ptCount val="1"/>
                <c:pt idx="0">
                  <c:v>Total Fuel cost Liter Fule efficency=km/L Total Maintenance cost of the month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'June fleet Sumerry Report (4)'!$C$6:$C$15</c:f>
              <c:strCache>
                <c:ptCount val="10"/>
                <c:pt idx="0">
                  <c:v>3-33254</c:v>
                </c:pt>
                <c:pt idx="1">
                  <c:v>3-47039</c:v>
                </c:pt>
                <c:pt idx="2">
                  <c:v>3-47563</c:v>
                </c:pt>
                <c:pt idx="3">
                  <c:v>3-47564</c:v>
                </c:pt>
                <c:pt idx="4">
                  <c:v>3-54997</c:v>
                </c:pt>
                <c:pt idx="5">
                  <c:v>3-85624</c:v>
                </c:pt>
                <c:pt idx="6">
                  <c:v>3-29876</c:v>
                </c:pt>
                <c:pt idx="7">
                  <c:v>3-A02888</c:v>
                </c:pt>
                <c:pt idx="8">
                  <c:v>3-A05321</c:v>
                </c:pt>
                <c:pt idx="9">
                  <c:v>3-A93619</c:v>
                </c:pt>
              </c:strCache>
            </c:strRef>
          </c:cat>
          <c:val>
            <c:numRef>
              <c:f>'June fleet Sumerry Report (4)'!$L$6:$L$15</c:f>
              <c:numCache>
                <c:formatCode>_-* #,##0.00_-;\-* #,##0.00_-;_-* "-"??_-;_-@_-</c:formatCode>
                <c:ptCount val="10"/>
                <c:pt idx="0">
                  <c:v>45000</c:v>
                </c:pt>
                <c:pt idx="5">
                  <c:v>15000</c:v>
                </c:pt>
                <c:pt idx="6">
                  <c:v>37000</c:v>
                </c:pt>
                <c:pt idx="7">
                  <c:v>30000</c:v>
                </c:pt>
                <c:pt idx="8">
                  <c:v>25000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27-43EE-8F0B-622A7BBC0091}"/>
            </c:ext>
          </c:extLst>
        </c:ser>
        <c:ser>
          <c:idx val="7"/>
          <c:order val="2"/>
          <c:tx>
            <c:strRef>
              <c:f>'June fleet Sumerry Report (4)'!$O$5</c:f>
              <c:strCache>
                <c:ptCount val="1"/>
                <c:pt idx="0">
                  <c:v>Total Maintenance cost of the month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'June fleet Sumerry Report (4)'!$C$6:$C$15</c:f>
              <c:strCache>
                <c:ptCount val="10"/>
                <c:pt idx="0">
                  <c:v>3-33254</c:v>
                </c:pt>
                <c:pt idx="1">
                  <c:v>3-47039</c:v>
                </c:pt>
                <c:pt idx="2">
                  <c:v>3-47563</c:v>
                </c:pt>
                <c:pt idx="3">
                  <c:v>3-47564</c:v>
                </c:pt>
                <c:pt idx="4">
                  <c:v>3-54997</c:v>
                </c:pt>
                <c:pt idx="5">
                  <c:v>3-85624</c:v>
                </c:pt>
                <c:pt idx="6">
                  <c:v>3-29876</c:v>
                </c:pt>
                <c:pt idx="7">
                  <c:v>3-A02888</c:v>
                </c:pt>
                <c:pt idx="8">
                  <c:v>3-A05321</c:v>
                </c:pt>
                <c:pt idx="9">
                  <c:v>3-A93619</c:v>
                </c:pt>
              </c:strCache>
            </c:strRef>
          </c:cat>
          <c:val>
            <c:numRef>
              <c:f>'June fleet Sumerry Report (4)'!$O$6:$O$15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7-C527-43EE-8F0B-622A7BBC0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54720"/>
        <c:axId val="139464704"/>
      </c:barChart>
      <c:catAx>
        <c:axId val="13945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64704"/>
        <c:crosses val="autoZero"/>
        <c:auto val="1"/>
        <c:lblAlgn val="ctr"/>
        <c:lblOffset val="100"/>
        <c:noMultiLvlLbl val="0"/>
      </c:catAx>
      <c:valAx>
        <c:axId val="13946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5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82551</xdr:colOff>
      <xdr:row>16</xdr:row>
      <xdr:rowOff>57150</xdr:rowOff>
    </xdr:from>
    <xdr:to>
      <xdr:col>19</xdr:col>
      <xdr:colOff>933450</xdr:colOff>
      <xdr:row>40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1485446</xdr:colOff>
      <xdr:row>2</xdr:row>
      <xdr:rowOff>226786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99796" cy="7030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tabSelected="1" topLeftCell="C1" zoomScaleNormal="100" zoomScaleSheetLayoutView="100" workbookViewId="0">
      <selection activeCell="M7" sqref="M7"/>
    </sheetView>
  </sheetViews>
  <sheetFormatPr defaultRowHeight="15.75" x14ac:dyDescent="0.25"/>
  <cols>
    <col min="1" max="1" width="7.7109375" customWidth="1"/>
    <col min="2" max="2" width="23.140625" style="28" customWidth="1"/>
    <col min="3" max="3" width="17.28515625" customWidth="1"/>
    <col min="4" max="4" width="11.85546875" hidden="1" customWidth="1"/>
    <col min="5" max="5" width="15.42578125" hidden="1" customWidth="1"/>
    <col min="6" max="6" width="12.85546875" hidden="1" customWidth="1"/>
    <col min="7" max="8" width="12.85546875" customWidth="1"/>
    <col min="9" max="9" width="15.42578125" customWidth="1"/>
    <col min="10" max="10" width="14.140625" hidden="1" customWidth="1"/>
    <col min="11" max="11" width="15.42578125" hidden="1" customWidth="1"/>
    <col min="12" max="12" width="14.5703125" customWidth="1"/>
    <col min="13" max="14" width="10.7109375" customWidth="1"/>
    <col min="15" max="15" width="13.5703125" customWidth="1"/>
    <col min="16" max="16" width="13.42578125" customWidth="1"/>
    <col min="17" max="17" width="10.7109375" customWidth="1"/>
    <col min="18" max="18" width="13.42578125" customWidth="1"/>
    <col min="19" max="19" width="9.5703125" customWidth="1"/>
    <col min="20" max="20" width="14.42578125" customWidth="1"/>
  </cols>
  <sheetData>
    <row r="1" spans="1:20" ht="18.75" x14ac:dyDescent="0.3">
      <c r="B1" s="1"/>
      <c r="C1" s="2"/>
    </row>
    <row r="2" spans="1:20" ht="18.75" x14ac:dyDescent="0.3">
      <c r="B2" s="1"/>
      <c r="C2" s="2"/>
    </row>
    <row r="3" spans="1:20" ht="21" x14ac:dyDescent="0.35">
      <c r="A3" s="30" t="s">
        <v>33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 ht="15" customHeight="1" x14ac:dyDescent="0.25">
      <c r="A4" s="3"/>
      <c r="B4" s="4"/>
      <c r="C4" s="5"/>
    </row>
    <row r="5" spans="1:20" ht="78.75" x14ac:dyDescent="0.25">
      <c r="A5" s="6" t="s">
        <v>0</v>
      </c>
      <c r="B5" s="7" t="s">
        <v>1</v>
      </c>
      <c r="C5" s="8" t="s">
        <v>2</v>
      </c>
      <c r="D5" s="9" t="s">
        <v>3</v>
      </c>
      <c r="E5" s="10" t="s">
        <v>4</v>
      </c>
      <c r="F5" s="10" t="s">
        <v>5</v>
      </c>
      <c r="G5" s="10" t="s">
        <v>3</v>
      </c>
      <c r="H5" s="10" t="s">
        <v>4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  <c r="O5" s="11" t="s">
        <v>12</v>
      </c>
      <c r="P5" s="11" t="s">
        <v>13</v>
      </c>
      <c r="Q5" s="11" t="s">
        <v>14</v>
      </c>
      <c r="R5" s="11" t="s">
        <v>15</v>
      </c>
      <c r="S5" s="11" t="s">
        <v>16</v>
      </c>
      <c r="T5" s="11" t="s">
        <v>17</v>
      </c>
    </row>
    <row r="6" spans="1:20" s="21" customFormat="1" ht="18.75" x14ac:dyDescent="0.3">
      <c r="A6" s="12">
        <v>1</v>
      </c>
      <c r="B6" s="13" t="s">
        <v>18</v>
      </c>
      <c r="C6" s="13" t="s">
        <v>19</v>
      </c>
      <c r="D6" s="14"/>
      <c r="E6" s="14"/>
      <c r="F6" s="14"/>
      <c r="G6" s="15">
        <v>371587</v>
      </c>
      <c r="H6" s="15">
        <v>373433</v>
      </c>
      <c r="I6" s="16">
        <f>H6-G6</f>
        <v>1846</v>
      </c>
      <c r="J6" s="17"/>
      <c r="K6" s="18"/>
      <c r="L6" s="18">
        <v>45000</v>
      </c>
      <c r="M6" s="19">
        <f>L6/87.73</f>
        <v>512.93742163456056</v>
      </c>
      <c r="N6" s="17">
        <f>I6/M6</f>
        <v>3.5988795555555555</v>
      </c>
      <c r="O6" s="20"/>
      <c r="P6" s="17">
        <v>30</v>
      </c>
      <c r="Q6" s="17"/>
      <c r="R6" s="17"/>
      <c r="S6" s="17"/>
      <c r="T6" s="18" t="s">
        <v>20</v>
      </c>
    </row>
    <row r="7" spans="1:20" s="21" customFormat="1" ht="18.75" x14ac:dyDescent="0.3">
      <c r="A7" s="12">
        <v>2</v>
      </c>
      <c r="B7" s="13" t="s">
        <v>18</v>
      </c>
      <c r="C7" s="13" t="s">
        <v>21</v>
      </c>
      <c r="D7" s="14"/>
      <c r="E7" s="14"/>
      <c r="F7" s="14"/>
      <c r="G7" s="15"/>
      <c r="H7" s="15"/>
      <c r="I7" s="16">
        <f t="shared" ref="I7:I11" si="0">H7-G7</f>
        <v>0</v>
      </c>
      <c r="J7" s="17"/>
      <c r="K7" s="18"/>
      <c r="L7" s="18"/>
      <c r="M7" s="19"/>
      <c r="N7" s="17"/>
      <c r="O7" s="17"/>
      <c r="P7" s="17"/>
      <c r="Q7" s="17"/>
      <c r="R7" s="17"/>
      <c r="S7" s="17"/>
      <c r="T7" s="18" t="s">
        <v>20</v>
      </c>
    </row>
    <row r="8" spans="1:20" s="21" customFormat="1" ht="18.75" x14ac:dyDescent="0.3">
      <c r="A8" s="12">
        <v>3</v>
      </c>
      <c r="B8" s="13" t="s">
        <v>18</v>
      </c>
      <c r="C8" s="13" t="s">
        <v>22</v>
      </c>
      <c r="D8" s="14"/>
      <c r="E8" s="14"/>
      <c r="F8" s="14"/>
      <c r="G8" s="17"/>
      <c r="H8" s="17"/>
      <c r="I8" s="16">
        <f t="shared" si="0"/>
        <v>0</v>
      </c>
      <c r="J8" s="17"/>
      <c r="K8" s="18"/>
      <c r="L8" s="18"/>
      <c r="M8" s="19">
        <f t="shared" ref="M8:M15" si="1">L8/87.73</f>
        <v>0</v>
      </c>
      <c r="N8" s="17"/>
      <c r="O8" s="17"/>
      <c r="P8" s="17"/>
      <c r="Q8" s="17"/>
      <c r="R8" s="17"/>
      <c r="S8" s="17"/>
      <c r="T8" s="18" t="s">
        <v>20</v>
      </c>
    </row>
    <row r="9" spans="1:20" s="21" customFormat="1" ht="18.75" x14ac:dyDescent="0.3">
      <c r="A9" s="12">
        <v>4</v>
      </c>
      <c r="B9" s="13" t="s">
        <v>18</v>
      </c>
      <c r="C9" s="13" t="s">
        <v>23</v>
      </c>
      <c r="D9" s="14"/>
      <c r="E9" s="14"/>
      <c r="F9" s="14"/>
      <c r="G9" s="15"/>
      <c r="H9" s="15"/>
      <c r="I9" s="16">
        <f t="shared" si="0"/>
        <v>0</v>
      </c>
      <c r="J9" s="17"/>
      <c r="K9" s="18"/>
      <c r="L9" s="18"/>
      <c r="M9" s="19">
        <f t="shared" si="1"/>
        <v>0</v>
      </c>
      <c r="N9" s="17"/>
      <c r="O9" s="17"/>
      <c r="P9" s="17"/>
      <c r="Q9" s="17"/>
      <c r="R9" s="17"/>
      <c r="S9" s="17"/>
      <c r="T9" s="18" t="s">
        <v>20</v>
      </c>
    </row>
    <row r="10" spans="1:20" s="21" customFormat="1" ht="18.75" x14ac:dyDescent="0.3">
      <c r="A10" s="12">
        <v>5</v>
      </c>
      <c r="B10" s="13" t="s">
        <v>18</v>
      </c>
      <c r="C10" s="13" t="s">
        <v>24</v>
      </c>
      <c r="D10" s="14"/>
      <c r="E10" s="14"/>
      <c r="F10" s="14"/>
      <c r="G10" s="17"/>
      <c r="H10" s="17"/>
      <c r="I10" s="16">
        <f t="shared" si="0"/>
        <v>0</v>
      </c>
      <c r="J10" s="17"/>
      <c r="K10" s="18"/>
      <c r="L10" s="18"/>
      <c r="M10" s="19">
        <f t="shared" si="1"/>
        <v>0</v>
      </c>
      <c r="N10" s="17"/>
      <c r="O10" s="17"/>
      <c r="P10" s="17"/>
      <c r="Q10" s="17"/>
      <c r="R10" s="17"/>
      <c r="S10" s="17"/>
      <c r="T10" s="18" t="s">
        <v>20</v>
      </c>
    </row>
    <row r="11" spans="1:20" s="21" customFormat="1" ht="18.75" x14ac:dyDescent="0.3">
      <c r="A11" s="12">
        <v>6</v>
      </c>
      <c r="B11" s="13" t="s">
        <v>18</v>
      </c>
      <c r="C11" s="13" t="s">
        <v>25</v>
      </c>
      <c r="D11" s="14"/>
      <c r="E11" s="14"/>
      <c r="F11" s="14"/>
      <c r="G11" s="17">
        <v>104477</v>
      </c>
      <c r="H11" s="17">
        <v>105029</v>
      </c>
      <c r="I11" s="16">
        <f t="shared" si="0"/>
        <v>552</v>
      </c>
      <c r="J11" s="17"/>
      <c r="K11" s="18"/>
      <c r="L11" s="18">
        <v>15000</v>
      </c>
      <c r="M11" s="19">
        <f t="shared" si="1"/>
        <v>170.97914054485352</v>
      </c>
      <c r="N11" s="17">
        <f>I11/M11</f>
        <v>3.2284640000000002</v>
      </c>
      <c r="O11" s="22"/>
      <c r="P11" s="17"/>
      <c r="Q11" s="17"/>
      <c r="R11" s="17"/>
      <c r="S11" s="17"/>
      <c r="T11" s="18" t="s">
        <v>20</v>
      </c>
    </row>
    <row r="12" spans="1:20" s="21" customFormat="1" ht="18.75" x14ac:dyDescent="0.3">
      <c r="A12" s="12">
        <v>7</v>
      </c>
      <c r="B12" s="23" t="s">
        <v>26</v>
      </c>
      <c r="C12" s="13" t="s">
        <v>27</v>
      </c>
      <c r="D12" s="14"/>
      <c r="E12" s="14"/>
      <c r="F12" s="14"/>
      <c r="G12" s="17">
        <v>128463</v>
      </c>
      <c r="H12" s="17">
        <v>130824</v>
      </c>
      <c r="I12" s="16">
        <f>H12-G12</f>
        <v>2361</v>
      </c>
      <c r="J12" s="17"/>
      <c r="K12" s="18"/>
      <c r="L12" s="18">
        <v>37000</v>
      </c>
      <c r="M12" s="19">
        <f>L12/87.73</f>
        <v>421.74854667730534</v>
      </c>
      <c r="N12" s="17">
        <f>I12/M12</f>
        <v>5.598122432432433</v>
      </c>
      <c r="O12" s="22"/>
      <c r="P12" s="17">
        <v>30</v>
      </c>
      <c r="Q12" s="17"/>
      <c r="R12" s="17"/>
      <c r="S12" s="17"/>
      <c r="T12" s="18" t="s">
        <v>20</v>
      </c>
    </row>
    <row r="13" spans="1:20" s="21" customFormat="1" ht="18.75" x14ac:dyDescent="0.3">
      <c r="A13" s="12">
        <v>8</v>
      </c>
      <c r="B13" s="13" t="s">
        <v>28</v>
      </c>
      <c r="C13" s="13" t="s">
        <v>29</v>
      </c>
      <c r="D13" s="17">
        <v>0</v>
      </c>
      <c r="E13" s="17">
        <v>0</v>
      </c>
      <c r="F13" s="17">
        <v>0</v>
      </c>
      <c r="G13" s="17">
        <v>250563</v>
      </c>
      <c r="H13" s="17">
        <v>253755</v>
      </c>
      <c r="I13" s="16">
        <f>H13-G13</f>
        <v>3192</v>
      </c>
      <c r="J13" s="17">
        <v>225.45</v>
      </c>
      <c r="K13" s="18">
        <v>16070.43</v>
      </c>
      <c r="L13" s="18">
        <v>30000</v>
      </c>
      <c r="M13" s="19">
        <f t="shared" si="1"/>
        <v>341.95828108970704</v>
      </c>
      <c r="N13" s="17">
        <f t="shared" ref="N13:N14" si="2">I13/M13</f>
        <v>9.3344719999999999</v>
      </c>
      <c r="O13" s="24"/>
      <c r="P13" s="17">
        <v>30</v>
      </c>
      <c r="Q13" s="17"/>
      <c r="R13" s="17"/>
      <c r="S13" s="17"/>
      <c r="T13" s="18" t="s">
        <v>20</v>
      </c>
    </row>
    <row r="14" spans="1:20" s="21" customFormat="1" ht="18.75" x14ac:dyDescent="0.3">
      <c r="A14" s="12">
        <v>9</v>
      </c>
      <c r="B14" s="13" t="s">
        <v>28</v>
      </c>
      <c r="C14" s="13" t="s">
        <v>30</v>
      </c>
      <c r="D14" s="17">
        <v>160337</v>
      </c>
      <c r="E14" s="17">
        <v>161184</v>
      </c>
      <c r="F14" s="17">
        <f>E14-D14</f>
        <v>847</v>
      </c>
      <c r="G14" s="17">
        <v>232992</v>
      </c>
      <c r="H14" s="17">
        <v>235395</v>
      </c>
      <c r="I14" s="16">
        <f>H14-G14</f>
        <v>2403</v>
      </c>
      <c r="J14" s="17">
        <v>349.24</v>
      </c>
      <c r="K14" s="18">
        <v>25055.38</v>
      </c>
      <c r="L14" s="18">
        <v>25000</v>
      </c>
      <c r="M14" s="19">
        <f t="shared" si="1"/>
        <v>284.96523424142254</v>
      </c>
      <c r="N14" s="17">
        <f t="shared" si="2"/>
        <v>8.4326076000000008</v>
      </c>
      <c r="O14" s="24"/>
      <c r="P14" s="17">
        <v>30</v>
      </c>
      <c r="Q14" s="17"/>
      <c r="R14" s="17"/>
      <c r="S14" s="17"/>
      <c r="T14" s="18" t="s">
        <v>20</v>
      </c>
    </row>
    <row r="15" spans="1:20" s="21" customFormat="1" ht="18.75" x14ac:dyDescent="0.3">
      <c r="A15" s="12">
        <v>10</v>
      </c>
      <c r="B15" s="25" t="s">
        <v>31</v>
      </c>
      <c r="C15" s="13" t="s">
        <v>32</v>
      </c>
      <c r="D15" s="17"/>
      <c r="E15" s="17"/>
      <c r="F15" s="17"/>
      <c r="G15" s="17">
        <v>139681</v>
      </c>
      <c r="H15" s="17">
        <v>143227</v>
      </c>
      <c r="I15" s="26">
        <f>H15-G15</f>
        <v>3546</v>
      </c>
      <c r="J15" s="17">
        <v>108.97999999999999</v>
      </c>
      <c r="K15" s="18"/>
      <c r="L15" s="27">
        <v>25000</v>
      </c>
      <c r="M15" s="19">
        <f t="shared" si="1"/>
        <v>284.96523424142254</v>
      </c>
      <c r="N15" s="17">
        <f>I15/M15</f>
        <v>12.443623200000001</v>
      </c>
      <c r="O15" s="24"/>
      <c r="P15" s="17">
        <v>30</v>
      </c>
      <c r="Q15" s="17"/>
      <c r="R15" s="17"/>
      <c r="S15" s="17"/>
      <c r="T15" s="18" t="s">
        <v>20</v>
      </c>
    </row>
    <row r="17" ht="33.75" customHeight="1" x14ac:dyDescent="0.25"/>
    <row r="18" ht="20.25" customHeight="1" x14ac:dyDescent="0.25"/>
    <row r="20" ht="23.25" customHeight="1" x14ac:dyDescent="0.25"/>
    <row r="31" ht="27" customHeight="1" x14ac:dyDescent="0.25"/>
    <row r="34" spans="3:7" ht="12.75" customHeight="1" x14ac:dyDescent="0.25"/>
    <row r="35" spans="3:7" hidden="1" x14ac:dyDescent="0.25"/>
    <row r="43" spans="3:7" ht="18.75" x14ac:dyDescent="0.3">
      <c r="C43" s="29" t="s">
        <v>21</v>
      </c>
      <c r="G43" t="s">
        <v>37</v>
      </c>
    </row>
    <row r="44" spans="3:7" ht="18.75" x14ac:dyDescent="0.3">
      <c r="C44" s="29" t="s">
        <v>22</v>
      </c>
      <c r="G44" t="s">
        <v>34</v>
      </c>
    </row>
    <row r="45" spans="3:7" ht="18.75" x14ac:dyDescent="0.3">
      <c r="C45" s="29" t="s">
        <v>23</v>
      </c>
      <c r="G45" t="s">
        <v>35</v>
      </c>
    </row>
    <row r="46" spans="3:7" ht="18.75" x14ac:dyDescent="0.3">
      <c r="C46" s="29" t="s">
        <v>24</v>
      </c>
      <c r="G46" t="s">
        <v>36</v>
      </c>
    </row>
  </sheetData>
  <mergeCells count="1">
    <mergeCell ref="A3:T3"/>
  </mergeCells>
  <dataValidations count="1">
    <dataValidation type="list" allowBlank="1" showInputMessage="1" showErrorMessage="1" sqref="T6:T15" xr:uid="{00000000-0002-0000-0000-000000000000}">
      <formula1>"Very Good , Excellent , Good , Poor"</formula1>
    </dataValidation>
  </dataValidations>
  <pageMargins left="0.7" right="0.7" top="0.75" bottom="0.75" header="0.3" footer="0.3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fleet Sumerry Report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Ephrem Adane</cp:lastModifiedBy>
  <cp:lastPrinted>2023-12-05T13:53:04Z</cp:lastPrinted>
  <dcterms:created xsi:type="dcterms:W3CDTF">2023-12-05T00:19:39Z</dcterms:created>
  <dcterms:modified xsi:type="dcterms:W3CDTF">2023-12-11T07:33:00Z</dcterms:modified>
</cp:coreProperties>
</file>