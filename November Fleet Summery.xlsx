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hremA.DUGDACON\Desktop\"/>
    </mc:Choice>
  </mc:AlternateContent>
  <xr:revisionPtr revIDLastSave="0" documentId="8_{F8E43084-152D-45B8-A34D-63B7206EF5F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 May Fleet Repo detail" sheetId="1" r:id="rId1"/>
    <sheet name="May Fleet Repo Summery" sheetId="2" r:id="rId2"/>
    <sheet name="November" sheetId="3" r:id="rId3"/>
    <sheet name="Sheet1" sheetId="4" r:id="rId4"/>
  </sheets>
  <definedNames>
    <definedName name="_xlnm._FilterDatabase" localSheetId="0" hidden="1">' May Fleet Repo detail'!$A$5:$N$47</definedName>
    <definedName name="_xlnm.Print_Area" localSheetId="1">'May Fleet Repo Summery'!$A$1:$N$46</definedName>
    <definedName name="_xlnm.Print_Area" localSheetId="2">November!$A$1:$N$49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3" l="1"/>
  <c r="F21" i="3" l="1"/>
  <c r="A7" i="3"/>
  <c r="A9" i="3"/>
  <c r="A11" i="3"/>
  <c r="A13" i="3"/>
  <c r="A15" i="3"/>
  <c r="A17" i="3"/>
  <c r="A19" i="3"/>
  <c r="A21" i="3"/>
  <c r="A23" i="3"/>
  <c r="H13" i="3"/>
  <c r="E7" i="3" l="1"/>
  <c r="E8" i="3"/>
  <c r="E9" i="3"/>
  <c r="E10" i="3"/>
  <c r="E11" i="3"/>
  <c r="E12" i="3"/>
  <c r="E13" i="3"/>
  <c r="I13" i="3" s="1"/>
  <c r="E14" i="3"/>
  <c r="E15" i="3"/>
  <c r="E16" i="3"/>
  <c r="E17" i="3"/>
  <c r="E18" i="3"/>
  <c r="E19" i="3"/>
  <c r="E20" i="3"/>
  <c r="E22" i="3"/>
  <c r="E23" i="3"/>
  <c r="E24" i="3"/>
  <c r="I24" i="3" s="1"/>
  <c r="F20" i="3"/>
  <c r="F7" i="3"/>
  <c r="F24" i="3"/>
  <c r="F23" i="3"/>
  <c r="F22" i="3"/>
  <c r="F19" i="3"/>
  <c r="F18" i="3"/>
  <c r="F17" i="3"/>
  <c r="F16" i="3"/>
  <c r="F15" i="3"/>
  <c r="F14" i="3"/>
  <c r="F13" i="3"/>
  <c r="F12" i="3"/>
  <c r="F11" i="3"/>
  <c r="F10" i="3"/>
  <c r="F9" i="3"/>
  <c r="F8" i="3"/>
  <c r="F6" i="3"/>
  <c r="E6" i="3"/>
  <c r="F5" i="3"/>
  <c r="E5" i="3"/>
  <c r="A5" i="3"/>
  <c r="F4" i="3"/>
  <c r="I8" i="3" l="1"/>
  <c r="I23" i="3"/>
  <c r="I20" i="3"/>
  <c r="I5" i="3"/>
  <c r="I6" i="3"/>
  <c r="I18" i="3"/>
  <c r="I19" i="3"/>
  <c r="I17" i="3"/>
  <c r="I9" i="3"/>
  <c r="I15" i="3"/>
  <c r="I11" i="3"/>
  <c r="I16" i="3"/>
  <c r="I12" i="3"/>
  <c r="I14" i="3"/>
  <c r="I10" i="3"/>
  <c r="H15" i="2"/>
  <c r="H14" i="2"/>
  <c r="F5" i="2"/>
  <c r="F6" i="2"/>
  <c r="F4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7" i="2"/>
  <c r="E11" i="2"/>
  <c r="E13" i="2"/>
  <c r="E14" i="2"/>
  <c r="E15" i="2"/>
  <c r="E16" i="2"/>
  <c r="E17" i="2"/>
  <c r="I17" i="2" s="1"/>
  <c r="E18" i="2"/>
  <c r="E19" i="2"/>
  <c r="E20" i="2"/>
  <c r="E21" i="2"/>
  <c r="E8" i="2"/>
  <c r="E9" i="2"/>
  <c r="I9" i="2" s="1"/>
  <c r="E10" i="2"/>
  <c r="E12" i="2"/>
  <c r="I12" i="2" s="1"/>
  <c r="I13" i="2" l="1"/>
  <c r="I11" i="2"/>
  <c r="I18" i="2"/>
  <c r="I14" i="2"/>
  <c r="I20" i="2"/>
  <c r="I16" i="2"/>
  <c r="I21" i="2"/>
  <c r="I10" i="2"/>
  <c r="I19" i="2"/>
  <c r="I15" i="2"/>
  <c r="I8" i="2"/>
  <c r="E7" i="2"/>
  <c r="I7" i="2" s="1"/>
  <c r="E6" i="2"/>
  <c r="I6" i="2" s="1"/>
  <c r="E5" i="2"/>
  <c r="I5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E47" i="1" l="1"/>
  <c r="I47" i="1" s="1"/>
  <c r="E46" i="1"/>
  <c r="I46" i="1" s="1"/>
  <c r="E45" i="1"/>
  <c r="I45" i="1" s="1"/>
  <c r="E44" i="1"/>
  <c r="I44" i="1" s="1"/>
  <c r="E43" i="1"/>
  <c r="I43" i="1" s="1"/>
  <c r="E42" i="1"/>
  <c r="I42" i="1" s="1"/>
  <c r="E41" i="1"/>
  <c r="I41" i="1" s="1"/>
  <c r="E40" i="1"/>
  <c r="I40" i="1" s="1"/>
  <c r="E39" i="1"/>
  <c r="I39" i="1" s="1"/>
  <c r="E37" i="1"/>
  <c r="I37" i="1" s="1"/>
  <c r="E36" i="1"/>
  <c r="I36" i="1" s="1"/>
  <c r="E35" i="1"/>
  <c r="I35" i="1" s="1"/>
  <c r="E34" i="1"/>
  <c r="I34" i="1" s="1"/>
  <c r="E33" i="1"/>
  <c r="I33" i="1" s="1"/>
  <c r="E32" i="1"/>
  <c r="I32" i="1" s="1"/>
  <c r="E31" i="1"/>
  <c r="I31" i="1" s="1"/>
  <c r="E30" i="1"/>
  <c r="I30" i="1" s="1"/>
  <c r="E29" i="1"/>
  <c r="I29" i="1" s="1"/>
  <c r="E28" i="1"/>
  <c r="I28" i="1" s="1"/>
  <c r="E27" i="1"/>
  <c r="I27" i="1" s="1"/>
  <c r="E26" i="1"/>
  <c r="I26" i="1" s="1"/>
  <c r="E25" i="1"/>
  <c r="I25" i="1" s="1"/>
  <c r="E24" i="1"/>
  <c r="I24" i="1" s="1"/>
  <c r="E23" i="1"/>
  <c r="I23" i="1" s="1"/>
  <c r="E22" i="1"/>
  <c r="I22" i="1" s="1"/>
  <c r="E21" i="1"/>
  <c r="I21" i="1" s="1"/>
  <c r="E20" i="1"/>
  <c r="I20" i="1" s="1"/>
  <c r="E19" i="1"/>
  <c r="I19" i="1" s="1"/>
  <c r="E18" i="1"/>
  <c r="I18" i="1" s="1"/>
  <c r="E17" i="1"/>
  <c r="I17" i="1" s="1"/>
  <c r="E16" i="1"/>
  <c r="I16" i="1" s="1"/>
  <c r="E15" i="1"/>
  <c r="I15" i="1" s="1"/>
  <c r="E14" i="1"/>
  <c r="I14" i="1" s="1"/>
  <c r="E13" i="1"/>
  <c r="I13" i="1" s="1"/>
  <c r="I11" i="1"/>
  <c r="I10" i="1"/>
  <c r="E8" i="1"/>
  <c r="I8" i="1" s="1"/>
  <c r="E9" i="1"/>
  <c r="I9" i="1" s="1"/>
  <c r="E7" i="1"/>
  <c r="I7" i="1" s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</calcChain>
</file>

<file path=xl/sharedStrings.xml><?xml version="1.0" encoding="utf-8"?>
<sst xmlns="http://schemas.openxmlformats.org/spreadsheetml/2006/main" count="208" uniqueCount="90">
  <si>
    <t>Item #</t>
  </si>
  <si>
    <t>Starting KM at the beginning of the month</t>
  </si>
  <si>
    <t>Ending Km at the end of the month</t>
  </si>
  <si>
    <t>Km driven during the month</t>
  </si>
  <si>
    <t>Monthely fule consumption in liter</t>
  </si>
  <si>
    <t>Monthely fuel cost</t>
  </si>
  <si>
    <t>Total Maintenance cost of the month</t>
  </si>
  <si>
    <t>Fule efficency</t>
  </si>
  <si>
    <t>vehicle avalible per month</t>
  </si>
  <si>
    <t># days vehicle under maintenance</t>
  </si>
  <si>
    <t>#working days of the month</t>
  </si>
  <si>
    <t># of Idle days of the month</t>
  </si>
  <si>
    <t>Vehicle condition</t>
  </si>
  <si>
    <t>Plate number/ Project</t>
  </si>
  <si>
    <t>35-1398( CM)</t>
  </si>
  <si>
    <t>20-015(CM)</t>
  </si>
  <si>
    <t>20-035 (CM, L4R)</t>
  </si>
  <si>
    <t>35-1056 (CM)</t>
  </si>
  <si>
    <t>20-021(CM,RAYEE)</t>
  </si>
  <si>
    <t>35-5368(CM,WASHTRA)</t>
  </si>
  <si>
    <t>20--028 (CM)</t>
  </si>
  <si>
    <t>20-025 (NBPE, CM)</t>
  </si>
  <si>
    <t>35-3021 (CM,RAYEE)</t>
  </si>
  <si>
    <t>35-6467 (Horti-Life)</t>
  </si>
  <si>
    <t>35-912 (L4R)</t>
  </si>
  <si>
    <t>20-038 ( V4P&amp;P,CM)</t>
  </si>
  <si>
    <t>35-6469 (Horti-life)</t>
  </si>
  <si>
    <t>35-2114 (LIWAY)</t>
  </si>
  <si>
    <t>35-5907 (Horti-life)</t>
  </si>
  <si>
    <t>35-1287 (Bridge)</t>
  </si>
  <si>
    <t>35-5990 (NBPE+)</t>
  </si>
  <si>
    <t>35-5991 (NBPE+)</t>
  </si>
  <si>
    <t>35-6246 (BRIDGE)</t>
  </si>
  <si>
    <t>35-6781 (Horti-life)</t>
  </si>
  <si>
    <t>35-6782 (Hortt-life)</t>
  </si>
  <si>
    <t>35-6471 (Horti-Life)</t>
  </si>
  <si>
    <t>35-3430 (Bridge)</t>
  </si>
  <si>
    <t>35-2880 (LIWAY)</t>
  </si>
  <si>
    <t>35-1675 (Bridge)</t>
  </si>
  <si>
    <t>20-005 (CM,RAYEE)</t>
  </si>
  <si>
    <t>35-1501 (Bridge)</t>
  </si>
  <si>
    <t>35-6245(Bridge Tigray)</t>
  </si>
  <si>
    <t>35-6468 (Horti-life Tigray)</t>
  </si>
  <si>
    <t>35-6243 (Bridge Hawassa)</t>
  </si>
  <si>
    <t>20-004(CM, Hawwssa)</t>
  </si>
  <si>
    <t>20-012(CM,RAYEE Arebaminch)</t>
  </si>
  <si>
    <t>20-032 (CM)</t>
  </si>
  <si>
    <t xml:space="preserve">Good </t>
  </si>
  <si>
    <t xml:space="preserve">Very Good </t>
  </si>
  <si>
    <t>Poor</t>
  </si>
  <si>
    <t xml:space="preserve">Excellent </t>
  </si>
  <si>
    <t>Work Shop</t>
  </si>
  <si>
    <t>Parked</t>
  </si>
  <si>
    <t>35-5367 (CM,Bahirdar)</t>
  </si>
  <si>
    <t>20-008 (CM, RAYEE Bahirdar)</t>
  </si>
  <si>
    <t>42-916 (GRADII, Bahirdar)</t>
  </si>
  <si>
    <t>35-6244 (BRIDGE, Bahirdar)</t>
  </si>
  <si>
    <t>6780 (Horti-life, Bahirdar)</t>
  </si>
  <si>
    <t>35-040 (Kunzela, Bahirdar)</t>
  </si>
  <si>
    <t>20-022 (CM, Tigray)</t>
  </si>
  <si>
    <t>35-5989 (iWet, Tigray)</t>
  </si>
  <si>
    <t>Fleet Report For The Month of May,2023</t>
  </si>
  <si>
    <t>3*4420  Motor Cycle</t>
  </si>
  <si>
    <t>3*4428  Motor Cycle</t>
  </si>
  <si>
    <t>3*6036  Motor Cycle</t>
  </si>
  <si>
    <t xml:space="preserve">3-27879  Vitz  </t>
  </si>
  <si>
    <t xml:space="preserve">3-28419  Vitz  </t>
  </si>
  <si>
    <t xml:space="preserve">3-29252  Vitz  </t>
  </si>
  <si>
    <t xml:space="preserve">3-46263  Vitz  </t>
  </si>
  <si>
    <t xml:space="preserve">3-47570  Vitz  </t>
  </si>
  <si>
    <t xml:space="preserve">3-50360  Vitz  </t>
  </si>
  <si>
    <t xml:space="preserve">3-90206  Vitz  </t>
  </si>
  <si>
    <t xml:space="preserve">3-50333  Hyundia  </t>
  </si>
  <si>
    <t xml:space="preserve">3-89361  Hyundia  </t>
  </si>
  <si>
    <t xml:space="preserve">3-93373  Hyundia  </t>
  </si>
  <si>
    <t>3-50384  SUZUKI</t>
  </si>
  <si>
    <t>3-50385  SUZUKI</t>
  </si>
  <si>
    <t>3-57177  SUZUKI</t>
  </si>
  <si>
    <t>3-58873  SUZUKI</t>
  </si>
  <si>
    <t xml:space="preserve">3-83550  KIA </t>
  </si>
  <si>
    <t>Fleet Report For The month of October 2023</t>
  </si>
  <si>
    <t>Plate number</t>
  </si>
  <si>
    <t>of Idle days of the month</t>
  </si>
  <si>
    <t xml:space="preserve"> days vehicle under maintenance</t>
  </si>
  <si>
    <t>working days of the month</t>
  </si>
  <si>
    <t xml:space="preserve">3-93374  Hyundia  </t>
  </si>
  <si>
    <t xml:space="preserve">3-89363  Hyundia  </t>
  </si>
  <si>
    <t>3-58973  SUZUKI</t>
  </si>
  <si>
    <t xml:space="preserve">3-89362  Hyundia  </t>
  </si>
  <si>
    <t>Fleet Report For The month of November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</si>
</sst>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2" fillId="0" borderId="1" xfId="1" applyFont="1" applyFill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164" fontId="0" fillId="0" borderId="1" xfId="1" applyFont="1" applyBorder="1"/>
    <xf numFmtId="4" fontId="0" fillId="0" borderId="1" xfId="0" applyNumberFormat="1" applyBorder="1"/>
    <xf numFmtId="0" fontId="5" fillId="0" borderId="1" xfId="0" applyFont="1" applyBorder="1"/>
    <xf numFmtId="0" fontId="0" fillId="0" borderId="2" xfId="0" applyBorder="1"/>
    <xf numFmtId="164" fontId="0" fillId="0" borderId="1" xfId="1" applyFont="1" applyFill="1" applyBorder="1"/>
    <xf numFmtId="3" fontId="0" fillId="0" borderId="1" xfId="0" applyNumberFormat="1" applyBorder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/>
    <xf numFmtId="0" fontId="7" fillId="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43" fontId="7" fillId="0" borderId="1" xfId="0" applyNumberFormat="1" applyFont="1" applyBorder="1"/>
    <xf numFmtId="164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4" fontId="7" fillId="0" borderId="1" xfId="1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3" fontId="7" fillId="0" borderId="1" xfId="0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3" borderId="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MOVEMENT , FUEL AND MAINTANANCE COST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'May Fleet Repo Summery'!$C$3</c:f>
              <c:strCache>
                <c:ptCount val="1"/>
                <c:pt idx="0">
                  <c:v>Starting KM at the beginning of the 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'May Fleet Repo Summery'!$B$4:$B$21</c:f>
              <c:strCache>
                <c:ptCount val="18"/>
                <c:pt idx="0">
                  <c:v>3*4420  Motor Cycle</c:v>
                </c:pt>
                <c:pt idx="1">
                  <c:v>3*4428  Motor Cycle</c:v>
                </c:pt>
                <c:pt idx="2">
                  <c:v>3*6036  Motor Cycle</c:v>
                </c:pt>
                <c:pt idx="3">
                  <c:v>3-27879  Vitz  </c:v>
                </c:pt>
                <c:pt idx="4">
                  <c:v>3-28419  Vitz  </c:v>
                </c:pt>
                <c:pt idx="5">
                  <c:v>3-29252  Vitz  </c:v>
                </c:pt>
                <c:pt idx="6">
                  <c:v>3-46263  Vitz  </c:v>
                </c:pt>
                <c:pt idx="7">
                  <c:v>3-47570  Vitz  </c:v>
                </c:pt>
                <c:pt idx="8">
                  <c:v>3-50333  Hyundia  </c:v>
                </c:pt>
                <c:pt idx="9">
                  <c:v>3-50360  Vitz  </c:v>
                </c:pt>
                <c:pt idx="10">
                  <c:v>3-50384  SUZUKI</c:v>
                </c:pt>
                <c:pt idx="11">
                  <c:v>3-50385  SUZUKI</c:v>
                </c:pt>
                <c:pt idx="12">
                  <c:v>3-57177  SUZUKI</c:v>
                </c:pt>
                <c:pt idx="13">
                  <c:v>3-58873  SUZUKI</c:v>
                </c:pt>
                <c:pt idx="14">
                  <c:v>3-83550  KIA </c:v>
                </c:pt>
                <c:pt idx="15">
                  <c:v>3-89361  Hyundia  </c:v>
                </c:pt>
                <c:pt idx="16">
                  <c:v>3-90206  Vitz  </c:v>
                </c:pt>
                <c:pt idx="17">
                  <c:v>3-93373  Hyundia  </c:v>
                </c:pt>
              </c:strCache>
            </c:strRef>
          </c:cat>
          <c:val>
            <c:numRef>
              <c:f>'May Fleet Repo Summery'!$C$4:$C$21</c:f>
            </c:numRef>
          </c:val>
          <c:extLst>
            <c:ext xmlns:c16="http://schemas.microsoft.com/office/drawing/2014/chart" uri="{C3380CC4-5D6E-409C-BE32-E72D297353CC}">
              <c16:uniqueId val="{00000000-24AE-45F3-8BC9-65E2B6CF4A86}"/>
            </c:ext>
          </c:extLst>
        </c:ser>
        <c:ser>
          <c:idx val="1"/>
          <c:order val="1"/>
          <c:tx>
            <c:strRef>
              <c:f>'May Fleet Repo Summery'!$D$3</c:f>
              <c:strCache>
                <c:ptCount val="1"/>
                <c:pt idx="0">
                  <c:v>Ending Km at the end of the month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'May Fleet Repo Summery'!$B$4:$B$21</c:f>
              <c:strCache>
                <c:ptCount val="18"/>
                <c:pt idx="0">
                  <c:v>3*4420  Motor Cycle</c:v>
                </c:pt>
                <c:pt idx="1">
                  <c:v>3*4428  Motor Cycle</c:v>
                </c:pt>
                <c:pt idx="2">
                  <c:v>3*6036  Motor Cycle</c:v>
                </c:pt>
                <c:pt idx="3">
                  <c:v>3-27879  Vitz  </c:v>
                </c:pt>
                <c:pt idx="4">
                  <c:v>3-28419  Vitz  </c:v>
                </c:pt>
                <c:pt idx="5">
                  <c:v>3-29252  Vitz  </c:v>
                </c:pt>
                <c:pt idx="6">
                  <c:v>3-46263  Vitz  </c:v>
                </c:pt>
                <c:pt idx="7">
                  <c:v>3-47570  Vitz  </c:v>
                </c:pt>
                <c:pt idx="8">
                  <c:v>3-50333  Hyundia  </c:v>
                </c:pt>
                <c:pt idx="9">
                  <c:v>3-50360  Vitz  </c:v>
                </c:pt>
                <c:pt idx="10">
                  <c:v>3-50384  SUZUKI</c:v>
                </c:pt>
                <c:pt idx="11">
                  <c:v>3-50385  SUZUKI</c:v>
                </c:pt>
                <c:pt idx="12">
                  <c:v>3-57177  SUZUKI</c:v>
                </c:pt>
                <c:pt idx="13">
                  <c:v>3-58873  SUZUKI</c:v>
                </c:pt>
                <c:pt idx="14">
                  <c:v>3-83550  KIA </c:v>
                </c:pt>
                <c:pt idx="15">
                  <c:v>3-89361  Hyundia  </c:v>
                </c:pt>
                <c:pt idx="16">
                  <c:v>3-90206  Vitz  </c:v>
                </c:pt>
                <c:pt idx="17">
                  <c:v>3-93373  Hyundia  </c:v>
                </c:pt>
              </c:strCache>
            </c:strRef>
          </c:cat>
          <c:val>
            <c:numRef>
              <c:f>'May Fleet Repo Summery'!$D$4:$D$21</c:f>
            </c:numRef>
          </c:val>
          <c:extLst>
            <c:ext xmlns:c16="http://schemas.microsoft.com/office/drawing/2014/chart" uri="{C3380CC4-5D6E-409C-BE32-E72D297353CC}">
              <c16:uniqueId val="{00000001-24AE-45F3-8BC9-65E2B6CF4A86}"/>
            </c:ext>
          </c:extLst>
        </c:ser>
        <c:ser>
          <c:idx val="2"/>
          <c:order val="2"/>
          <c:tx>
            <c:strRef>
              <c:f>'May Fleet Repo Summery'!$E$3</c:f>
              <c:strCache>
                <c:ptCount val="1"/>
                <c:pt idx="0">
                  <c:v>Km driven during the month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'May Fleet Repo Summery'!$B$4:$B$21</c:f>
              <c:strCache>
                <c:ptCount val="18"/>
                <c:pt idx="0">
                  <c:v>3*4420  Motor Cycle</c:v>
                </c:pt>
                <c:pt idx="1">
                  <c:v>3*4428  Motor Cycle</c:v>
                </c:pt>
                <c:pt idx="2">
                  <c:v>3*6036  Motor Cycle</c:v>
                </c:pt>
                <c:pt idx="3">
                  <c:v>3-27879  Vitz  </c:v>
                </c:pt>
                <c:pt idx="4">
                  <c:v>3-28419  Vitz  </c:v>
                </c:pt>
                <c:pt idx="5">
                  <c:v>3-29252  Vitz  </c:v>
                </c:pt>
                <c:pt idx="6">
                  <c:v>3-46263  Vitz  </c:v>
                </c:pt>
                <c:pt idx="7">
                  <c:v>3-47570  Vitz  </c:v>
                </c:pt>
                <c:pt idx="8">
                  <c:v>3-50333  Hyundia  </c:v>
                </c:pt>
                <c:pt idx="9">
                  <c:v>3-50360  Vitz  </c:v>
                </c:pt>
                <c:pt idx="10">
                  <c:v>3-50384  SUZUKI</c:v>
                </c:pt>
                <c:pt idx="11">
                  <c:v>3-50385  SUZUKI</c:v>
                </c:pt>
                <c:pt idx="12">
                  <c:v>3-57177  SUZUKI</c:v>
                </c:pt>
                <c:pt idx="13">
                  <c:v>3-58873  SUZUKI</c:v>
                </c:pt>
                <c:pt idx="14">
                  <c:v>3-83550  KIA </c:v>
                </c:pt>
                <c:pt idx="15">
                  <c:v>3-89361  Hyundia  </c:v>
                </c:pt>
                <c:pt idx="16">
                  <c:v>3-90206  Vitz  </c:v>
                </c:pt>
                <c:pt idx="17">
                  <c:v>3-93373  Hyundia  </c:v>
                </c:pt>
              </c:strCache>
            </c:strRef>
          </c:cat>
          <c:val>
            <c:numRef>
              <c:f>'May Fleet Repo Summery'!$E$4:$E$21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696</c:v>
                </c:pt>
                <c:pt idx="4">
                  <c:v>1692</c:v>
                </c:pt>
                <c:pt idx="5">
                  <c:v>777</c:v>
                </c:pt>
                <c:pt idx="6">
                  <c:v>275</c:v>
                </c:pt>
                <c:pt idx="7">
                  <c:v>2446</c:v>
                </c:pt>
                <c:pt idx="8">
                  <c:v>1744</c:v>
                </c:pt>
                <c:pt idx="9">
                  <c:v>1576</c:v>
                </c:pt>
                <c:pt idx="10">
                  <c:v>998</c:v>
                </c:pt>
                <c:pt idx="11">
                  <c:v>1887</c:v>
                </c:pt>
                <c:pt idx="12">
                  <c:v>838</c:v>
                </c:pt>
                <c:pt idx="13">
                  <c:v>3389</c:v>
                </c:pt>
                <c:pt idx="14">
                  <c:v>1320</c:v>
                </c:pt>
                <c:pt idx="15">
                  <c:v>1549</c:v>
                </c:pt>
                <c:pt idx="16">
                  <c:v>778</c:v>
                </c:pt>
                <c:pt idx="17">
                  <c:v>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AE-45F3-8BC9-65E2B6CF4A86}"/>
            </c:ext>
          </c:extLst>
        </c:ser>
        <c:ser>
          <c:idx val="3"/>
          <c:order val="3"/>
          <c:tx>
            <c:strRef>
              <c:f>'May Fleet Repo Summery'!$F$3</c:f>
              <c:strCache>
                <c:ptCount val="1"/>
                <c:pt idx="0">
                  <c:v>Monthely fule consumption in liter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'May Fleet Repo Summery'!$B$4:$B$21</c:f>
              <c:strCache>
                <c:ptCount val="18"/>
                <c:pt idx="0">
                  <c:v>3*4420  Motor Cycle</c:v>
                </c:pt>
                <c:pt idx="1">
                  <c:v>3*4428  Motor Cycle</c:v>
                </c:pt>
                <c:pt idx="2">
                  <c:v>3*6036  Motor Cycle</c:v>
                </c:pt>
                <c:pt idx="3">
                  <c:v>3-27879  Vitz  </c:v>
                </c:pt>
                <c:pt idx="4">
                  <c:v>3-28419  Vitz  </c:v>
                </c:pt>
                <c:pt idx="5">
                  <c:v>3-29252  Vitz  </c:v>
                </c:pt>
                <c:pt idx="6">
                  <c:v>3-46263  Vitz  </c:v>
                </c:pt>
                <c:pt idx="7">
                  <c:v>3-47570  Vitz  </c:v>
                </c:pt>
                <c:pt idx="8">
                  <c:v>3-50333  Hyundia  </c:v>
                </c:pt>
                <c:pt idx="9">
                  <c:v>3-50360  Vitz  </c:v>
                </c:pt>
                <c:pt idx="10">
                  <c:v>3-50384  SUZUKI</c:v>
                </c:pt>
                <c:pt idx="11">
                  <c:v>3-50385  SUZUKI</c:v>
                </c:pt>
                <c:pt idx="12">
                  <c:v>3-57177  SUZUKI</c:v>
                </c:pt>
                <c:pt idx="13">
                  <c:v>3-58873  SUZUKI</c:v>
                </c:pt>
                <c:pt idx="14">
                  <c:v>3-83550  KIA </c:v>
                </c:pt>
                <c:pt idx="15">
                  <c:v>3-89361  Hyundia  </c:v>
                </c:pt>
                <c:pt idx="16">
                  <c:v>3-90206  Vitz  </c:v>
                </c:pt>
                <c:pt idx="17">
                  <c:v>3-93373  Hyundia  </c:v>
                </c:pt>
              </c:strCache>
            </c:strRef>
          </c:cat>
          <c:val>
            <c:numRef>
              <c:f>'May Fleet Repo Summery'!$F$4:$F$21</c:f>
              <c:numCache>
                <c:formatCode>_(* #,##0.00_);_(* \(#,##0.00\);_(* "-"??_);_(@_)</c:formatCode>
                <c:ptCount val="18"/>
                <c:pt idx="0">
                  <c:v>167.41790083708949</c:v>
                </c:pt>
                <c:pt idx="1">
                  <c:v>152.01545396007725</c:v>
                </c:pt>
                <c:pt idx="2">
                  <c:v>135.68576947842882</c:v>
                </c:pt>
                <c:pt idx="3">
                  <c:v>103.026400515132</c:v>
                </c:pt>
                <c:pt idx="4">
                  <c:v>126.2073406310367</c:v>
                </c:pt>
                <c:pt idx="5">
                  <c:v>97.231165486155817</c:v>
                </c:pt>
                <c:pt idx="6">
                  <c:v>24.9967804249839</c:v>
                </c:pt>
                <c:pt idx="7">
                  <c:v>260.29620090148097</c:v>
                </c:pt>
                <c:pt idx="8">
                  <c:v>211.51320025756598</c:v>
                </c:pt>
                <c:pt idx="9">
                  <c:v>171.95106245975529</c:v>
                </c:pt>
                <c:pt idx="10">
                  <c:v>144.90663232453315</c:v>
                </c:pt>
                <c:pt idx="11">
                  <c:v>119.53638119768189</c:v>
                </c:pt>
                <c:pt idx="12">
                  <c:v>106.98003863490018</c:v>
                </c:pt>
                <c:pt idx="13">
                  <c:v>153.83129426915647</c:v>
                </c:pt>
                <c:pt idx="14">
                  <c:v>256.99935608499675</c:v>
                </c:pt>
                <c:pt idx="15">
                  <c:v>147.46941403734706</c:v>
                </c:pt>
                <c:pt idx="16">
                  <c:v>71.925305859626519</c:v>
                </c:pt>
                <c:pt idx="17">
                  <c:v>56.14938828074694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AE-45F3-8BC9-65E2B6CF4A86}"/>
            </c:ext>
          </c:extLst>
        </c:ser>
        <c:ser>
          <c:idx val="4"/>
          <c:order val="4"/>
          <c:tx>
            <c:strRef>
              <c:f>'May Fleet Repo Summery'!$G$3</c:f>
              <c:strCache>
                <c:ptCount val="1"/>
                <c:pt idx="0">
                  <c:v>Monthely fuel cost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'May Fleet Repo Summery'!$B$4:$B$21</c:f>
              <c:strCache>
                <c:ptCount val="18"/>
                <c:pt idx="0">
                  <c:v>3*4420  Motor Cycle</c:v>
                </c:pt>
                <c:pt idx="1">
                  <c:v>3*4428  Motor Cycle</c:v>
                </c:pt>
                <c:pt idx="2">
                  <c:v>3*6036  Motor Cycle</c:v>
                </c:pt>
                <c:pt idx="3">
                  <c:v>3-27879  Vitz  </c:v>
                </c:pt>
                <c:pt idx="4">
                  <c:v>3-28419  Vitz  </c:v>
                </c:pt>
                <c:pt idx="5">
                  <c:v>3-29252  Vitz  </c:v>
                </c:pt>
                <c:pt idx="6">
                  <c:v>3-46263  Vitz  </c:v>
                </c:pt>
                <c:pt idx="7">
                  <c:v>3-47570  Vitz  </c:v>
                </c:pt>
                <c:pt idx="8">
                  <c:v>3-50333  Hyundia  </c:v>
                </c:pt>
                <c:pt idx="9">
                  <c:v>3-50360  Vitz  </c:v>
                </c:pt>
                <c:pt idx="10">
                  <c:v>3-50384  SUZUKI</c:v>
                </c:pt>
                <c:pt idx="11">
                  <c:v>3-50385  SUZUKI</c:v>
                </c:pt>
                <c:pt idx="12">
                  <c:v>3-57177  SUZUKI</c:v>
                </c:pt>
                <c:pt idx="13">
                  <c:v>3-58873  SUZUKI</c:v>
                </c:pt>
                <c:pt idx="14">
                  <c:v>3-83550  KIA </c:v>
                </c:pt>
                <c:pt idx="15">
                  <c:v>3-89361  Hyundia  </c:v>
                </c:pt>
                <c:pt idx="16">
                  <c:v>3-90206  Vitz  </c:v>
                </c:pt>
                <c:pt idx="17">
                  <c:v>3-93373  Hyundia  </c:v>
                </c:pt>
              </c:strCache>
            </c:strRef>
          </c:cat>
          <c:val>
            <c:numRef>
              <c:f>'May Fleet Repo Summery'!$G$4:$G$21</c:f>
              <c:numCache>
                <c:formatCode>_(* #,##0.00_);_(* \(#,##0.00\);_(* "-"??_);_(@_)</c:formatCode>
                <c:ptCount val="18"/>
                <c:pt idx="0">
                  <c:v>13000</c:v>
                </c:pt>
                <c:pt idx="1">
                  <c:v>11804</c:v>
                </c:pt>
                <c:pt idx="2">
                  <c:v>10536</c:v>
                </c:pt>
                <c:pt idx="3">
                  <c:v>8000</c:v>
                </c:pt>
                <c:pt idx="4">
                  <c:v>9800</c:v>
                </c:pt>
                <c:pt idx="5">
                  <c:v>7550</c:v>
                </c:pt>
                <c:pt idx="6">
                  <c:v>1941</c:v>
                </c:pt>
                <c:pt idx="7">
                  <c:v>20212</c:v>
                </c:pt>
                <c:pt idx="8">
                  <c:v>16424</c:v>
                </c:pt>
                <c:pt idx="9">
                  <c:v>13352</c:v>
                </c:pt>
                <c:pt idx="10">
                  <c:v>11252</c:v>
                </c:pt>
                <c:pt idx="11">
                  <c:v>9282</c:v>
                </c:pt>
                <c:pt idx="12">
                  <c:v>8307</c:v>
                </c:pt>
                <c:pt idx="13">
                  <c:v>11945</c:v>
                </c:pt>
                <c:pt idx="14">
                  <c:v>19956</c:v>
                </c:pt>
                <c:pt idx="15">
                  <c:v>11451</c:v>
                </c:pt>
                <c:pt idx="16">
                  <c:v>5585</c:v>
                </c:pt>
                <c:pt idx="17">
                  <c:v>4360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AE-45F3-8BC9-65E2B6CF4A86}"/>
            </c:ext>
          </c:extLst>
        </c:ser>
        <c:ser>
          <c:idx val="5"/>
          <c:order val="5"/>
          <c:tx>
            <c:strRef>
              <c:f>'May Fleet Repo Summery'!$H$3</c:f>
              <c:strCache>
                <c:ptCount val="1"/>
                <c:pt idx="0">
                  <c:v>Total Maintenance cost of the month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'May Fleet Repo Summery'!$B$4:$B$21</c:f>
              <c:strCache>
                <c:ptCount val="18"/>
                <c:pt idx="0">
                  <c:v>3*4420  Motor Cycle</c:v>
                </c:pt>
                <c:pt idx="1">
                  <c:v>3*4428  Motor Cycle</c:v>
                </c:pt>
                <c:pt idx="2">
                  <c:v>3*6036  Motor Cycle</c:v>
                </c:pt>
                <c:pt idx="3">
                  <c:v>3-27879  Vitz  </c:v>
                </c:pt>
                <c:pt idx="4">
                  <c:v>3-28419  Vitz  </c:v>
                </c:pt>
                <c:pt idx="5">
                  <c:v>3-29252  Vitz  </c:v>
                </c:pt>
                <c:pt idx="6">
                  <c:v>3-46263  Vitz  </c:v>
                </c:pt>
                <c:pt idx="7">
                  <c:v>3-47570  Vitz  </c:v>
                </c:pt>
                <c:pt idx="8">
                  <c:v>3-50333  Hyundia  </c:v>
                </c:pt>
                <c:pt idx="9">
                  <c:v>3-50360  Vitz  </c:v>
                </c:pt>
                <c:pt idx="10">
                  <c:v>3-50384  SUZUKI</c:v>
                </c:pt>
                <c:pt idx="11">
                  <c:v>3-50385  SUZUKI</c:v>
                </c:pt>
                <c:pt idx="12">
                  <c:v>3-57177  SUZUKI</c:v>
                </c:pt>
                <c:pt idx="13">
                  <c:v>3-58873  SUZUKI</c:v>
                </c:pt>
                <c:pt idx="14">
                  <c:v>3-83550  KIA </c:v>
                </c:pt>
                <c:pt idx="15">
                  <c:v>3-89361  Hyundia  </c:v>
                </c:pt>
                <c:pt idx="16">
                  <c:v>3-90206  Vitz  </c:v>
                </c:pt>
                <c:pt idx="17">
                  <c:v>3-93373  Hyundia  </c:v>
                </c:pt>
              </c:strCache>
            </c:strRef>
          </c:cat>
          <c:val>
            <c:numRef>
              <c:f>'May Fleet Repo Summery'!$H$4:$H$21</c:f>
              <c:numCache>
                <c:formatCode>_-* #,##0.00_-;\-* #,##0.00_-;_-* "-"??_-;_-@_-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2450</c:v>
                </c:pt>
                <c:pt idx="9">
                  <c:v>0</c:v>
                </c:pt>
                <c:pt idx="10">
                  <c:v>12400</c:v>
                </c:pt>
                <c:pt idx="11">
                  <c:v>29633.34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AE-45F3-8BC9-65E2B6CF4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16128"/>
        <c:axId val="189617664"/>
      </c:barChart>
      <c:catAx>
        <c:axId val="18961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17664"/>
        <c:crosses val="autoZero"/>
        <c:auto val="1"/>
        <c:lblAlgn val="ctr"/>
        <c:lblOffset val="100"/>
        <c:noMultiLvlLbl val="0"/>
      </c:catAx>
      <c:valAx>
        <c:axId val="18961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MOVEMENT , FUEL AND MAINTANANCE COST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'May Fleet Repo Summery'!$C$3</c:f>
              <c:strCache>
                <c:ptCount val="1"/>
                <c:pt idx="0">
                  <c:v>Starting KM at the beginning of the 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'May Fleet Repo Summery'!$B$4:$B$21</c:f>
              <c:strCache>
                <c:ptCount val="18"/>
                <c:pt idx="0">
                  <c:v>3*4420  Motor Cycle</c:v>
                </c:pt>
                <c:pt idx="1">
                  <c:v>3*4428  Motor Cycle</c:v>
                </c:pt>
                <c:pt idx="2">
                  <c:v>3*6036  Motor Cycle</c:v>
                </c:pt>
                <c:pt idx="3">
                  <c:v>3-27879  Vitz  </c:v>
                </c:pt>
                <c:pt idx="4">
                  <c:v>3-28419  Vitz  </c:v>
                </c:pt>
                <c:pt idx="5">
                  <c:v>3-29252  Vitz  </c:v>
                </c:pt>
                <c:pt idx="6">
                  <c:v>3-46263  Vitz  </c:v>
                </c:pt>
                <c:pt idx="7">
                  <c:v>3-47570  Vitz  </c:v>
                </c:pt>
                <c:pt idx="8">
                  <c:v>3-50333  Hyundia  </c:v>
                </c:pt>
                <c:pt idx="9">
                  <c:v>3-50360  Vitz  </c:v>
                </c:pt>
                <c:pt idx="10">
                  <c:v>3-50384  SUZUKI</c:v>
                </c:pt>
                <c:pt idx="11">
                  <c:v>3-50385  SUZUKI</c:v>
                </c:pt>
                <c:pt idx="12">
                  <c:v>3-57177  SUZUKI</c:v>
                </c:pt>
                <c:pt idx="13">
                  <c:v>3-58873  SUZUKI</c:v>
                </c:pt>
                <c:pt idx="14">
                  <c:v>3-83550  KIA </c:v>
                </c:pt>
                <c:pt idx="15">
                  <c:v>3-89361  Hyundia  </c:v>
                </c:pt>
                <c:pt idx="16">
                  <c:v>3-90206  Vitz  </c:v>
                </c:pt>
                <c:pt idx="17">
                  <c:v>3-93373  Hyundia  </c:v>
                </c:pt>
              </c:strCache>
            </c:strRef>
          </c:cat>
          <c:val>
            <c:numRef>
              <c:f>'May Fleet Repo Summery'!$C$4:$C$21</c:f>
            </c:numRef>
          </c:val>
          <c:extLst>
            <c:ext xmlns:c16="http://schemas.microsoft.com/office/drawing/2014/chart" uri="{C3380CC4-5D6E-409C-BE32-E72D297353CC}">
              <c16:uniqueId val="{00000000-24AE-45F3-8BC9-65E2B6CF4A86}"/>
            </c:ext>
          </c:extLst>
        </c:ser>
        <c:ser>
          <c:idx val="1"/>
          <c:order val="1"/>
          <c:tx>
            <c:strRef>
              <c:f>'May Fleet Repo Summery'!$D$3</c:f>
              <c:strCache>
                <c:ptCount val="1"/>
                <c:pt idx="0">
                  <c:v>Ending Km at the end of the month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'May Fleet Repo Summery'!$B$4:$B$21</c:f>
              <c:strCache>
                <c:ptCount val="18"/>
                <c:pt idx="0">
                  <c:v>3*4420  Motor Cycle</c:v>
                </c:pt>
                <c:pt idx="1">
                  <c:v>3*4428  Motor Cycle</c:v>
                </c:pt>
                <c:pt idx="2">
                  <c:v>3*6036  Motor Cycle</c:v>
                </c:pt>
                <c:pt idx="3">
                  <c:v>3-27879  Vitz  </c:v>
                </c:pt>
                <c:pt idx="4">
                  <c:v>3-28419  Vitz  </c:v>
                </c:pt>
                <c:pt idx="5">
                  <c:v>3-29252  Vitz  </c:v>
                </c:pt>
                <c:pt idx="6">
                  <c:v>3-46263  Vitz  </c:v>
                </c:pt>
                <c:pt idx="7">
                  <c:v>3-47570  Vitz  </c:v>
                </c:pt>
                <c:pt idx="8">
                  <c:v>3-50333  Hyundia  </c:v>
                </c:pt>
                <c:pt idx="9">
                  <c:v>3-50360  Vitz  </c:v>
                </c:pt>
                <c:pt idx="10">
                  <c:v>3-50384  SUZUKI</c:v>
                </c:pt>
                <c:pt idx="11">
                  <c:v>3-50385  SUZUKI</c:v>
                </c:pt>
                <c:pt idx="12">
                  <c:v>3-57177  SUZUKI</c:v>
                </c:pt>
                <c:pt idx="13">
                  <c:v>3-58873  SUZUKI</c:v>
                </c:pt>
                <c:pt idx="14">
                  <c:v>3-83550  KIA </c:v>
                </c:pt>
                <c:pt idx="15">
                  <c:v>3-89361  Hyundia  </c:v>
                </c:pt>
                <c:pt idx="16">
                  <c:v>3-90206  Vitz  </c:v>
                </c:pt>
                <c:pt idx="17">
                  <c:v>3-93373  Hyundia  </c:v>
                </c:pt>
              </c:strCache>
            </c:strRef>
          </c:cat>
          <c:val>
            <c:numRef>
              <c:f>'May Fleet Repo Summery'!$D$4:$D$21</c:f>
            </c:numRef>
          </c:val>
          <c:extLst>
            <c:ext xmlns:c16="http://schemas.microsoft.com/office/drawing/2014/chart" uri="{C3380CC4-5D6E-409C-BE32-E72D297353CC}">
              <c16:uniqueId val="{00000001-24AE-45F3-8BC9-65E2B6CF4A86}"/>
            </c:ext>
          </c:extLst>
        </c:ser>
        <c:ser>
          <c:idx val="2"/>
          <c:order val="2"/>
          <c:tx>
            <c:strRef>
              <c:f>'May Fleet Repo Summery'!$E$3</c:f>
              <c:strCache>
                <c:ptCount val="1"/>
                <c:pt idx="0">
                  <c:v>Km driven during the month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'May Fleet Repo Summery'!$B$4:$B$21</c:f>
              <c:strCache>
                <c:ptCount val="18"/>
                <c:pt idx="0">
                  <c:v>3*4420  Motor Cycle</c:v>
                </c:pt>
                <c:pt idx="1">
                  <c:v>3*4428  Motor Cycle</c:v>
                </c:pt>
                <c:pt idx="2">
                  <c:v>3*6036  Motor Cycle</c:v>
                </c:pt>
                <c:pt idx="3">
                  <c:v>3-27879  Vitz  </c:v>
                </c:pt>
                <c:pt idx="4">
                  <c:v>3-28419  Vitz  </c:v>
                </c:pt>
                <c:pt idx="5">
                  <c:v>3-29252  Vitz  </c:v>
                </c:pt>
                <c:pt idx="6">
                  <c:v>3-46263  Vitz  </c:v>
                </c:pt>
                <c:pt idx="7">
                  <c:v>3-47570  Vitz  </c:v>
                </c:pt>
                <c:pt idx="8">
                  <c:v>3-50333  Hyundia  </c:v>
                </c:pt>
                <c:pt idx="9">
                  <c:v>3-50360  Vitz  </c:v>
                </c:pt>
                <c:pt idx="10">
                  <c:v>3-50384  SUZUKI</c:v>
                </c:pt>
                <c:pt idx="11">
                  <c:v>3-50385  SUZUKI</c:v>
                </c:pt>
                <c:pt idx="12">
                  <c:v>3-57177  SUZUKI</c:v>
                </c:pt>
                <c:pt idx="13">
                  <c:v>3-58873  SUZUKI</c:v>
                </c:pt>
                <c:pt idx="14">
                  <c:v>3-83550  KIA </c:v>
                </c:pt>
                <c:pt idx="15">
                  <c:v>3-89361  Hyundia  </c:v>
                </c:pt>
                <c:pt idx="16">
                  <c:v>3-90206  Vitz  </c:v>
                </c:pt>
                <c:pt idx="17">
                  <c:v>3-93373  Hyundia  </c:v>
                </c:pt>
              </c:strCache>
            </c:strRef>
          </c:cat>
          <c:val>
            <c:numRef>
              <c:f>'May Fleet Repo Summery'!$E$4:$E$21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696</c:v>
                </c:pt>
                <c:pt idx="4">
                  <c:v>1692</c:v>
                </c:pt>
                <c:pt idx="5">
                  <c:v>777</c:v>
                </c:pt>
                <c:pt idx="6">
                  <c:v>275</c:v>
                </c:pt>
                <c:pt idx="7">
                  <c:v>2446</c:v>
                </c:pt>
                <c:pt idx="8">
                  <c:v>1744</c:v>
                </c:pt>
                <c:pt idx="9">
                  <c:v>1576</c:v>
                </c:pt>
                <c:pt idx="10">
                  <c:v>998</c:v>
                </c:pt>
                <c:pt idx="11">
                  <c:v>1887</c:v>
                </c:pt>
                <c:pt idx="12">
                  <c:v>838</c:v>
                </c:pt>
                <c:pt idx="13">
                  <c:v>3389</c:v>
                </c:pt>
                <c:pt idx="14">
                  <c:v>1320</c:v>
                </c:pt>
                <c:pt idx="15">
                  <c:v>1549</c:v>
                </c:pt>
                <c:pt idx="16">
                  <c:v>778</c:v>
                </c:pt>
                <c:pt idx="17">
                  <c:v>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AE-45F3-8BC9-65E2B6CF4A86}"/>
            </c:ext>
          </c:extLst>
        </c:ser>
        <c:ser>
          <c:idx val="3"/>
          <c:order val="3"/>
          <c:tx>
            <c:strRef>
              <c:f>'May Fleet Repo Summery'!$F$3</c:f>
              <c:strCache>
                <c:ptCount val="1"/>
                <c:pt idx="0">
                  <c:v>Monthely fule consumption in liter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'May Fleet Repo Summery'!$B$4:$B$21</c:f>
              <c:strCache>
                <c:ptCount val="18"/>
                <c:pt idx="0">
                  <c:v>3*4420  Motor Cycle</c:v>
                </c:pt>
                <c:pt idx="1">
                  <c:v>3*4428  Motor Cycle</c:v>
                </c:pt>
                <c:pt idx="2">
                  <c:v>3*6036  Motor Cycle</c:v>
                </c:pt>
                <c:pt idx="3">
                  <c:v>3-27879  Vitz  </c:v>
                </c:pt>
                <c:pt idx="4">
                  <c:v>3-28419  Vitz  </c:v>
                </c:pt>
                <c:pt idx="5">
                  <c:v>3-29252  Vitz  </c:v>
                </c:pt>
                <c:pt idx="6">
                  <c:v>3-46263  Vitz  </c:v>
                </c:pt>
                <c:pt idx="7">
                  <c:v>3-47570  Vitz  </c:v>
                </c:pt>
                <c:pt idx="8">
                  <c:v>3-50333  Hyundia  </c:v>
                </c:pt>
                <c:pt idx="9">
                  <c:v>3-50360  Vitz  </c:v>
                </c:pt>
                <c:pt idx="10">
                  <c:v>3-50384  SUZUKI</c:v>
                </c:pt>
                <c:pt idx="11">
                  <c:v>3-50385  SUZUKI</c:v>
                </c:pt>
                <c:pt idx="12">
                  <c:v>3-57177  SUZUKI</c:v>
                </c:pt>
                <c:pt idx="13">
                  <c:v>3-58873  SUZUKI</c:v>
                </c:pt>
                <c:pt idx="14">
                  <c:v>3-83550  KIA </c:v>
                </c:pt>
                <c:pt idx="15">
                  <c:v>3-89361  Hyundia  </c:v>
                </c:pt>
                <c:pt idx="16">
                  <c:v>3-90206  Vitz  </c:v>
                </c:pt>
                <c:pt idx="17">
                  <c:v>3-93373  Hyundia  </c:v>
                </c:pt>
              </c:strCache>
            </c:strRef>
          </c:cat>
          <c:val>
            <c:numRef>
              <c:f>'May Fleet Repo Summery'!$F$4:$F$21</c:f>
              <c:numCache>
                <c:formatCode>_(* #,##0.00_);_(* \(#,##0.00\);_(* "-"??_);_(@_)</c:formatCode>
                <c:ptCount val="18"/>
                <c:pt idx="0">
                  <c:v>167.41790083708949</c:v>
                </c:pt>
                <c:pt idx="1">
                  <c:v>152.01545396007725</c:v>
                </c:pt>
                <c:pt idx="2">
                  <c:v>135.68576947842882</c:v>
                </c:pt>
                <c:pt idx="3">
                  <c:v>103.026400515132</c:v>
                </c:pt>
                <c:pt idx="4">
                  <c:v>126.2073406310367</c:v>
                </c:pt>
                <c:pt idx="5">
                  <c:v>97.231165486155817</c:v>
                </c:pt>
                <c:pt idx="6">
                  <c:v>24.9967804249839</c:v>
                </c:pt>
                <c:pt idx="7">
                  <c:v>260.29620090148097</c:v>
                </c:pt>
                <c:pt idx="8">
                  <c:v>211.51320025756598</c:v>
                </c:pt>
                <c:pt idx="9">
                  <c:v>171.95106245975529</c:v>
                </c:pt>
                <c:pt idx="10">
                  <c:v>144.90663232453315</c:v>
                </c:pt>
                <c:pt idx="11">
                  <c:v>119.53638119768189</c:v>
                </c:pt>
                <c:pt idx="12">
                  <c:v>106.98003863490018</c:v>
                </c:pt>
                <c:pt idx="13">
                  <c:v>153.83129426915647</c:v>
                </c:pt>
                <c:pt idx="14">
                  <c:v>256.99935608499675</c:v>
                </c:pt>
                <c:pt idx="15">
                  <c:v>147.46941403734706</c:v>
                </c:pt>
                <c:pt idx="16">
                  <c:v>71.925305859626519</c:v>
                </c:pt>
                <c:pt idx="17">
                  <c:v>56.14938828074694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AE-45F3-8BC9-65E2B6CF4A86}"/>
            </c:ext>
          </c:extLst>
        </c:ser>
        <c:ser>
          <c:idx val="4"/>
          <c:order val="4"/>
          <c:tx>
            <c:strRef>
              <c:f>'May Fleet Repo Summery'!$G$3</c:f>
              <c:strCache>
                <c:ptCount val="1"/>
                <c:pt idx="0">
                  <c:v>Monthely fuel cost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'May Fleet Repo Summery'!$B$4:$B$21</c:f>
              <c:strCache>
                <c:ptCount val="18"/>
                <c:pt idx="0">
                  <c:v>3*4420  Motor Cycle</c:v>
                </c:pt>
                <c:pt idx="1">
                  <c:v>3*4428  Motor Cycle</c:v>
                </c:pt>
                <c:pt idx="2">
                  <c:v>3*6036  Motor Cycle</c:v>
                </c:pt>
                <c:pt idx="3">
                  <c:v>3-27879  Vitz  </c:v>
                </c:pt>
                <c:pt idx="4">
                  <c:v>3-28419  Vitz  </c:v>
                </c:pt>
                <c:pt idx="5">
                  <c:v>3-29252  Vitz  </c:v>
                </c:pt>
                <c:pt idx="6">
                  <c:v>3-46263  Vitz  </c:v>
                </c:pt>
                <c:pt idx="7">
                  <c:v>3-47570  Vitz  </c:v>
                </c:pt>
                <c:pt idx="8">
                  <c:v>3-50333  Hyundia  </c:v>
                </c:pt>
                <c:pt idx="9">
                  <c:v>3-50360  Vitz  </c:v>
                </c:pt>
                <c:pt idx="10">
                  <c:v>3-50384  SUZUKI</c:v>
                </c:pt>
                <c:pt idx="11">
                  <c:v>3-50385  SUZUKI</c:v>
                </c:pt>
                <c:pt idx="12">
                  <c:v>3-57177  SUZUKI</c:v>
                </c:pt>
                <c:pt idx="13">
                  <c:v>3-58873  SUZUKI</c:v>
                </c:pt>
                <c:pt idx="14">
                  <c:v>3-83550  KIA </c:v>
                </c:pt>
                <c:pt idx="15">
                  <c:v>3-89361  Hyundia  </c:v>
                </c:pt>
                <c:pt idx="16">
                  <c:v>3-90206  Vitz  </c:v>
                </c:pt>
                <c:pt idx="17">
                  <c:v>3-93373  Hyundia  </c:v>
                </c:pt>
              </c:strCache>
            </c:strRef>
          </c:cat>
          <c:val>
            <c:numRef>
              <c:f>'May Fleet Repo Summery'!$G$4:$G$21</c:f>
              <c:numCache>
                <c:formatCode>_(* #,##0.00_);_(* \(#,##0.00\);_(* "-"??_);_(@_)</c:formatCode>
                <c:ptCount val="18"/>
                <c:pt idx="0">
                  <c:v>13000</c:v>
                </c:pt>
                <c:pt idx="1">
                  <c:v>11804</c:v>
                </c:pt>
                <c:pt idx="2">
                  <c:v>10536</c:v>
                </c:pt>
                <c:pt idx="3">
                  <c:v>8000</c:v>
                </c:pt>
                <c:pt idx="4">
                  <c:v>9800</c:v>
                </c:pt>
                <c:pt idx="5">
                  <c:v>7550</c:v>
                </c:pt>
                <c:pt idx="6">
                  <c:v>1941</c:v>
                </c:pt>
                <c:pt idx="7">
                  <c:v>20212</c:v>
                </c:pt>
                <c:pt idx="8">
                  <c:v>16424</c:v>
                </c:pt>
                <c:pt idx="9">
                  <c:v>13352</c:v>
                </c:pt>
                <c:pt idx="10">
                  <c:v>11252</c:v>
                </c:pt>
                <c:pt idx="11">
                  <c:v>9282</c:v>
                </c:pt>
                <c:pt idx="12">
                  <c:v>8307</c:v>
                </c:pt>
                <c:pt idx="13">
                  <c:v>11945</c:v>
                </c:pt>
                <c:pt idx="14">
                  <c:v>19956</c:v>
                </c:pt>
                <c:pt idx="15">
                  <c:v>11451</c:v>
                </c:pt>
                <c:pt idx="16">
                  <c:v>5585</c:v>
                </c:pt>
                <c:pt idx="17">
                  <c:v>4360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AE-45F3-8BC9-65E2B6CF4A86}"/>
            </c:ext>
          </c:extLst>
        </c:ser>
        <c:ser>
          <c:idx val="5"/>
          <c:order val="5"/>
          <c:tx>
            <c:strRef>
              <c:f>'May Fleet Repo Summery'!$H$3</c:f>
              <c:strCache>
                <c:ptCount val="1"/>
                <c:pt idx="0">
                  <c:v>Total Maintenance cost of the month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'May Fleet Repo Summery'!$B$4:$B$21</c:f>
              <c:strCache>
                <c:ptCount val="18"/>
                <c:pt idx="0">
                  <c:v>3*4420  Motor Cycle</c:v>
                </c:pt>
                <c:pt idx="1">
                  <c:v>3*4428  Motor Cycle</c:v>
                </c:pt>
                <c:pt idx="2">
                  <c:v>3*6036  Motor Cycle</c:v>
                </c:pt>
                <c:pt idx="3">
                  <c:v>3-27879  Vitz  </c:v>
                </c:pt>
                <c:pt idx="4">
                  <c:v>3-28419  Vitz  </c:v>
                </c:pt>
                <c:pt idx="5">
                  <c:v>3-29252  Vitz  </c:v>
                </c:pt>
                <c:pt idx="6">
                  <c:v>3-46263  Vitz  </c:v>
                </c:pt>
                <c:pt idx="7">
                  <c:v>3-47570  Vitz  </c:v>
                </c:pt>
                <c:pt idx="8">
                  <c:v>3-50333  Hyundia  </c:v>
                </c:pt>
                <c:pt idx="9">
                  <c:v>3-50360  Vitz  </c:v>
                </c:pt>
                <c:pt idx="10">
                  <c:v>3-50384  SUZUKI</c:v>
                </c:pt>
                <c:pt idx="11">
                  <c:v>3-50385  SUZUKI</c:v>
                </c:pt>
                <c:pt idx="12">
                  <c:v>3-57177  SUZUKI</c:v>
                </c:pt>
                <c:pt idx="13">
                  <c:v>3-58873  SUZUKI</c:v>
                </c:pt>
                <c:pt idx="14">
                  <c:v>3-83550  KIA </c:v>
                </c:pt>
                <c:pt idx="15">
                  <c:v>3-89361  Hyundia  </c:v>
                </c:pt>
                <c:pt idx="16">
                  <c:v>3-90206  Vitz  </c:v>
                </c:pt>
                <c:pt idx="17">
                  <c:v>3-93373  Hyundia  </c:v>
                </c:pt>
              </c:strCache>
            </c:strRef>
          </c:cat>
          <c:val>
            <c:numRef>
              <c:f>'May Fleet Repo Summery'!$H$4:$H$21</c:f>
              <c:numCache>
                <c:formatCode>_-* #,##0.00_-;\-* #,##0.00_-;_-* "-"??_-;_-@_-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2450</c:v>
                </c:pt>
                <c:pt idx="9">
                  <c:v>0</c:v>
                </c:pt>
                <c:pt idx="10">
                  <c:v>12400</c:v>
                </c:pt>
                <c:pt idx="11">
                  <c:v>29633.34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AE-45F3-8BC9-65E2B6CF4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37888"/>
        <c:axId val="134039424"/>
      </c:barChart>
      <c:catAx>
        <c:axId val="13403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39424"/>
        <c:crosses val="autoZero"/>
        <c:auto val="1"/>
        <c:lblAlgn val="ctr"/>
        <c:lblOffset val="100"/>
        <c:noMultiLvlLbl val="0"/>
      </c:catAx>
      <c:valAx>
        <c:axId val="13403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3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Sheet1!$F$7:$F$15</c:f>
              <c:numCache>
                <c:formatCode>General</c:formatCode>
                <c:ptCount val="9"/>
                <c:pt idx="0">
                  <c:v>10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11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1-42A4-A0D6-944302522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842688"/>
        <c:axId val="189783040"/>
      </c:barChart>
      <c:valAx>
        <c:axId val="189783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7842688"/>
        <c:crosses val="autoZero"/>
        <c:crossBetween val="between"/>
      </c:valAx>
      <c:catAx>
        <c:axId val="137842688"/>
        <c:scaling>
          <c:orientation val="minMax"/>
        </c:scaling>
        <c:delete val="0"/>
        <c:axPos val="b"/>
        <c:majorTickMark val="out"/>
        <c:minorTickMark val="none"/>
        <c:tickLblPos val="nextTo"/>
        <c:crossAx val="189783040"/>
        <c:crosses val="autoZero"/>
        <c:auto val="1"/>
        <c:lblAlgn val="ctr"/>
        <c:lblOffset val="100"/>
        <c:noMultiLvlLbl val="0"/>
      </c:cat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21</xdr:row>
      <xdr:rowOff>177800</xdr:rowOff>
    </xdr:from>
    <xdr:to>
      <xdr:col>13</xdr:col>
      <xdr:colOff>571500</xdr:colOff>
      <xdr:row>45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24</xdr:row>
      <xdr:rowOff>177800</xdr:rowOff>
    </xdr:from>
    <xdr:to>
      <xdr:col>13</xdr:col>
      <xdr:colOff>571500</xdr:colOff>
      <xdr:row>48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485775</xdr:colOff>
      <xdr:row>6</xdr:row>
      <xdr:rowOff>66675</xdr:rowOff>
    </xdr:from>
    <xdr:to>
      <xdr:col>16</xdr:col>
      <xdr:colOff>180975</xdr:colOff>
      <xdr:row>20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47"/>
  <sheetViews>
    <sheetView topLeftCell="C1" workbookViewId="0">
      <selection activeCell="H11" sqref="H11"/>
    </sheetView>
  </sheetViews>
  <sheetFormatPr defaultRowHeight="15" x14ac:dyDescent="0.25"/>
  <cols>
    <col min="2" max="2" width="35.85546875" customWidth="1"/>
    <col min="3" max="3" width="16" customWidth="1"/>
    <col min="4" max="4" width="13.140625" customWidth="1"/>
    <col min="5" max="5" width="20.85546875" customWidth="1"/>
    <col min="6" max="6" width="15.7109375" customWidth="1"/>
    <col min="7" max="7" width="12.85546875" customWidth="1"/>
    <col min="8" max="8" width="13.140625" customWidth="1"/>
    <col min="9" max="10" width="13.7109375" customWidth="1"/>
    <col min="11" max="11" width="12.5703125" customWidth="1"/>
    <col min="12" max="12" width="14.5703125" customWidth="1"/>
    <col min="13" max="13" width="12.140625" customWidth="1"/>
    <col min="14" max="14" width="19.85546875" customWidth="1"/>
  </cols>
  <sheetData>
    <row r="3" spans="1:14" ht="21" x14ac:dyDescent="0.35">
      <c r="A3" s="30" t="s">
        <v>61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5" spans="1:14" ht="63" x14ac:dyDescent="0.25">
      <c r="A5" s="4" t="s">
        <v>0</v>
      </c>
      <c r="B5" s="5" t="s">
        <v>13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10</v>
      </c>
      <c r="K5" s="5" t="s">
        <v>8</v>
      </c>
      <c r="L5" s="5" t="s">
        <v>9</v>
      </c>
      <c r="M5" s="5" t="s">
        <v>11</v>
      </c>
      <c r="N5" s="5" t="s">
        <v>12</v>
      </c>
    </row>
    <row r="6" spans="1:14" ht="15.75" x14ac:dyDescent="0.25">
      <c r="A6" s="2">
        <v>1</v>
      </c>
      <c r="B6" s="1" t="s">
        <v>14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3" t="s">
        <v>47</v>
      </c>
    </row>
    <row r="7" spans="1:14" ht="15.75" x14ac:dyDescent="0.25">
      <c r="A7" s="2">
        <f>A6+1</f>
        <v>2</v>
      </c>
      <c r="B7" s="1" t="s">
        <v>15</v>
      </c>
      <c r="C7" s="2">
        <v>160059</v>
      </c>
      <c r="D7" s="2">
        <v>160337</v>
      </c>
      <c r="E7" s="2">
        <f>D7-C7</f>
        <v>278</v>
      </c>
      <c r="F7" s="2">
        <v>42.43</v>
      </c>
      <c r="G7" s="2">
        <v>2950</v>
      </c>
      <c r="H7" s="2"/>
      <c r="I7" s="2">
        <f>E7/F7</f>
        <v>6.5519679472071646</v>
      </c>
      <c r="J7" s="2"/>
      <c r="K7" s="2"/>
      <c r="L7" s="2"/>
      <c r="M7" s="2"/>
      <c r="N7" s="3" t="s">
        <v>48</v>
      </c>
    </row>
    <row r="8" spans="1:14" ht="15.75" x14ac:dyDescent="0.25">
      <c r="A8" s="2">
        <f t="shared" ref="A8:A46" si="0">A7+1</f>
        <v>3</v>
      </c>
      <c r="B8" s="1" t="s">
        <v>16</v>
      </c>
      <c r="C8" s="2">
        <v>360575</v>
      </c>
      <c r="D8" s="2">
        <v>364027</v>
      </c>
      <c r="E8" s="2">
        <f t="shared" ref="E8:E9" si="1">D8-C8</f>
        <v>3452</v>
      </c>
      <c r="F8" s="2">
        <v>479</v>
      </c>
      <c r="G8" s="6">
        <v>33027</v>
      </c>
      <c r="H8" s="7">
        <v>40667.5</v>
      </c>
      <c r="I8" s="2">
        <f>E8/F8</f>
        <v>7.2066805845511483</v>
      </c>
      <c r="J8" s="2">
        <v>0</v>
      </c>
      <c r="K8" s="2">
        <v>0</v>
      </c>
      <c r="L8" s="2">
        <v>0</v>
      </c>
      <c r="M8" s="2"/>
      <c r="N8" s="3" t="s">
        <v>48</v>
      </c>
    </row>
    <row r="9" spans="1:14" ht="15.75" x14ac:dyDescent="0.25">
      <c r="A9" s="2">
        <f t="shared" si="0"/>
        <v>4</v>
      </c>
      <c r="B9" s="1" t="s">
        <v>17</v>
      </c>
      <c r="C9" s="2">
        <v>30521</v>
      </c>
      <c r="D9" s="2">
        <v>33079</v>
      </c>
      <c r="E9" s="2">
        <f t="shared" si="1"/>
        <v>2558</v>
      </c>
      <c r="F9" s="2">
        <v>261.8</v>
      </c>
      <c r="G9" s="6">
        <v>18459</v>
      </c>
      <c r="H9" s="2"/>
      <c r="I9" s="2">
        <f>E9/F9</f>
        <v>9.7708174178762413</v>
      </c>
      <c r="J9" s="2"/>
      <c r="K9" s="2"/>
      <c r="L9" s="2"/>
      <c r="M9" s="2"/>
      <c r="N9" s="3" t="s">
        <v>47</v>
      </c>
    </row>
    <row r="10" spans="1:14" ht="15.75" x14ac:dyDescent="0.25">
      <c r="A10" s="2">
        <f t="shared" si="0"/>
        <v>5</v>
      </c>
      <c r="B10" s="1" t="s">
        <v>18</v>
      </c>
      <c r="C10" s="2">
        <v>317317</v>
      </c>
      <c r="D10" s="2">
        <v>321097</v>
      </c>
      <c r="E10" s="2">
        <v>3780</v>
      </c>
      <c r="F10" s="2">
        <v>487.24</v>
      </c>
      <c r="G10" s="6">
        <v>34558.480000000003</v>
      </c>
      <c r="H10" s="2"/>
      <c r="I10" s="2">
        <f>E10/F10</f>
        <v>7.7579837451769151</v>
      </c>
      <c r="J10" s="2"/>
      <c r="K10" s="2"/>
      <c r="L10" s="2"/>
      <c r="M10" s="2"/>
      <c r="N10" s="3" t="s">
        <v>47</v>
      </c>
    </row>
    <row r="11" spans="1:14" ht="15.75" x14ac:dyDescent="0.25">
      <c r="A11" s="2">
        <f t="shared" si="0"/>
        <v>6</v>
      </c>
      <c r="B11" s="1" t="s">
        <v>19</v>
      </c>
      <c r="C11" s="2">
        <v>262094</v>
      </c>
      <c r="D11" s="2">
        <v>265723</v>
      </c>
      <c r="E11" s="2">
        <v>3629</v>
      </c>
      <c r="F11" s="2">
        <v>262.20999999999998</v>
      </c>
      <c r="G11" s="6">
        <v>18821.330000000002</v>
      </c>
      <c r="H11" s="6">
        <v>18143.13</v>
      </c>
      <c r="I11" s="2">
        <f>E11/F11</f>
        <v>13.840051866824302</v>
      </c>
      <c r="J11" s="2"/>
      <c r="K11" s="2"/>
      <c r="L11" s="2"/>
      <c r="M11" s="2"/>
      <c r="N11" s="3" t="s">
        <v>47</v>
      </c>
    </row>
    <row r="12" spans="1:14" ht="18.75" x14ac:dyDescent="0.3">
      <c r="A12" s="2">
        <f t="shared" si="0"/>
        <v>7</v>
      </c>
      <c r="B12" s="1" t="s">
        <v>20</v>
      </c>
      <c r="C12" s="8" t="s">
        <v>51</v>
      </c>
      <c r="D12" s="2"/>
      <c r="E12" s="2">
        <v>0</v>
      </c>
      <c r="F12" s="2">
        <v>0</v>
      </c>
      <c r="G12" s="2">
        <v>0</v>
      </c>
      <c r="H12" s="2"/>
      <c r="I12" s="2">
        <v>0</v>
      </c>
      <c r="J12" s="2"/>
      <c r="K12" s="2"/>
      <c r="L12" s="2"/>
      <c r="M12" s="2"/>
      <c r="N12" s="3" t="s">
        <v>49</v>
      </c>
    </row>
    <row r="13" spans="1:14" ht="15.75" x14ac:dyDescent="0.25">
      <c r="A13" s="2">
        <f t="shared" si="0"/>
        <v>8</v>
      </c>
      <c r="B13" s="1" t="s">
        <v>21</v>
      </c>
      <c r="C13" s="2">
        <v>579365</v>
      </c>
      <c r="D13" s="2">
        <v>581491</v>
      </c>
      <c r="E13" s="2">
        <f t="shared" ref="E13:E37" si="2">D13-C13</f>
        <v>2126</v>
      </c>
      <c r="F13" s="2">
        <v>192.84</v>
      </c>
      <c r="G13" s="6">
        <v>13720.28</v>
      </c>
      <c r="H13" s="2"/>
      <c r="I13" s="2">
        <f t="shared" ref="I13:I37" si="3">E13/F13</f>
        <v>11.024683675585978</v>
      </c>
      <c r="J13" s="2"/>
      <c r="K13" s="2"/>
      <c r="L13" s="2"/>
      <c r="M13" s="2"/>
      <c r="N13" s="3" t="s">
        <v>47</v>
      </c>
    </row>
    <row r="14" spans="1:14" ht="15.75" x14ac:dyDescent="0.25">
      <c r="A14" s="2">
        <f t="shared" si="0"/>
        <v>9</v>
      </c>
      <c r="B14" s="1" t="s">
        <v>22</v>
      </c>
      <c r="C14" s="2">
        <v>213847</v>
      </c>
      <c r="D14" s="2">
        <v>215480</v>
      </c>
      <c r="E14" s="2">
        <f t="shared" si="2"/>
        <v>1633</v>
      </c>
      <c r="F14" s="2">
        <v>248.64</v>
      </c>
      <c r="G14" s="6">
        <v>15193</v>
      </c>
      <c r="H14" s="2"/>
      <c r="I14" s="2">
        <f t="shared" si="3"/>
        <v>6.567728442728443</v>
      </c>
      <c r="J14" s="2"/>
      <c r="K14" s="2"/>
      <c r="L14" s="2"/>
      <c r="M14" s="2"/>
      <c r="N14" s="3" t="s">
        <v>48</v>
      </c>
    </row>
    <row r="15" spans="1:14" ht="15.75" x14ac:dyDescent="0.25">
      <c r="A15" s="2">
        <f t="shared" si="0"/>
        <v>10</v>
      </c>
      <c r="B15" s="1" t="s">
        <v>23</v>
      </c>
      <c r="C15" s="2">
        <v>156700</v>
      </c>
      <c r="D15" s="2">
        <v>162040</v>
      </c>
      <c r="E15" s="2">
        <f t="shared" si="2"/>
        <v>5340</v>
      </c>
      <c r="F15" s="2">
        <v>424.22</v>
      </c>
      <c r="G15" s="6">
        <v>30161.71</v>
      </c>
      <c r="H15" s="6">
        <v>27475.38</v>
      </c>
      <c r="I15" s="2">
        <f t="shared" si="3"/>
        <v>12.587808212719814</v>
      </c>
      <c r="J15" s="2"/>
      <c r="K15" s="2"/>
      <c r="L15" s="2"/>
      <c r="M15" s="2"/>
      <c r="N15" s="3" t="s">
        <v>48</v>
      </c>
    </row>
    <row r="16" spans="1:14" ht="15.75" x14ac:dyDescent="0.25">
      <c r="A16" s="2">
        <f t="shared" si="0"/>
        <v>11</v>
      </c>
      <c r="B16" s="1" t="s">
        <v>24</v>
      </c>
      <c r="C16" s="2">
        <v>181620</v>
      </c>
      <c r="D16" s="2">
        <v>185278</v>
      </c>
      <c r="E16" s="2">
        <f t="shared" si="2"/>
        <v>3658</v>
      </c>
      <c r="F16" s="2">
        <v>472.86</v>
      </c>
      <c r="G16" s="6">
        <v>33503.53</v>
      </c>
      <c r="H16" s="2"/>
      <c r="I16" s="2">
        <f t="shared" si="3"/>
        <v>7.7359049190035103</v>
      </c>
      <c r="J16" s="2"/>
      <c r="K16" s="2"/>
      <c r="L16" s="2"/>
      <c r="M16" s="2"/>
      <c r="N16" s="3" t="s">
        <v>48</v>
      </c>
    </row>
    <row r="17" spans="1:14" ht="15.75" x14ac:dyDescent="0.25">
      <c r="A17" s="2">
        <f t="shared" si="0"/>
        <v>12</v>
      </c>
      <c r="B17" s="1" t="s">
        <v>25</v>
      </c>
      <c r="C17" s="2">
        <v>341162</v>
      </c>
      <c r="D17" s="2">
        <v>343769</v>
      </c>
      <c r="E17" s="2">
        <f t="shared" si="2"/>
        <v>2607</v>
      </c>
      <c r="F17" s="2">
        <v>321.7</v>
      </c>
      <c r="G17" s="6">
        <v>21845</v>
      </c>
      <c r="H17" s="2"/>
      <c r="I17" s="2">
        <f t="shared" si="3"/>
        <v>8.1038234379857013</v>
      </c>
      <c r="J17" s="2"/>
      <c r="K17" s="2"/>
      <c r="L17" s="2"/>
      <c r="M17" s="2"/>
      <c r="N17" s="3" t="s">
        <v>50</v>
      </c>
    </row>
    <row r="18" spans="1:14" ht="15.75" x14ac:dyDescent="0.25">
      <c r="A18" s="2">
        <f t="shared" si="0"/>
        <v>13</v>
      </c>
      <c r="B18" s="1" t="s">
        <v>26</v>
      </c>
      <c r="C18" s="2">
        <v>176572</v>
      </c>
      <c r="D18" s="2">
        <v>181127</v>
      </c>
      <c r="E18" s="2">
        <f t="shared" si="2"/>
        <v>4555</v>
      </c>
      <c r="F18" s="2">
        <v>394.52</v>
      </c>
      <c r="G18" s="6">
        <v>28187.040000000001</v>
      </c>
      <c r="H18" s="2"/>
      <c r="I18" s="2">
        <f t="shared" si="3"/>
        <v>11.545675757882998</v>
      </c>
      <c r="J18" s="2"/>
      <c r="K18" s="2"/>
      <c r="L18" s="2"/>
      <c r="M18" s="2"/>
      <c r="N18" s="3" t="s">
        <v>50</v>
      </c>
    </row>
    <row r="19" spans="1:14" ht="15.75" x14ac:dyDescent="0.25">
      <c r="A19" s="2">
        <f t="shared" si="0"/>
        <v>14</v>
      </c>
      <c r="B19" s="1" t="s">
        <v>27</v>
      </c>
      <c r="C19" s="2">
        <v>34167</v>
      </c>
      <c r="D19" s="2">
        <v>35824</v>
      </c>
      <c r="E19" s="2">
        <f t="shared" si="2"/>
        <v>1657</v>
      </c>
      <c r="F19" s="2">
        <v>167.53</v>
      </c>
      <c r="G19" s="6">
        <v>11918.45</v>
      </c>
      <c r="H19" s="2"/>
      <c r="I19" s="2">
        <f t="shared" si="3"/>
        <v>9.8907658329851369</v>
      </c>
      <c r="J19" s="2"/>
      <c r="K19" s="2"/>
      <c r="L19" s="2"/>
      <c r="M19" s="2"/>
      <c r="N19" s="3" t="s">
        <v>48</v>
      </c>
    </row>
    <row r="20" spans="1:14" ht="15.75" x14ac:dyDescent="0.25">
      <c r="A20" s="2">
        <f t="shared" si="0"/>
        <v>15</v>
      </c>
      <c r="B20" s="1" t="s">
        <v>28</v>
      </c>
      <c r="C20" s="2">
        <v>250542</v>
      </c>
      <c r="D20" s="2">
        <v>253145</v>
      </c>
      <c r="E20" s="2">
        <f t="shared" si="2"/>
        <v>2603</v>
      </c>
      <c r="F20" s="2">
        <v>287.87</v>
      </c>
      <c r="G20" s="6">
        <v>20540</v>
      </c>
      <c r="H20" s="2"/>
      <c r="I20" s="2">
        <f t="shared" si="3"/>
        <v>9.0422760273734664</v>
      </c>
      <c r="J20" s="2"/>
      <c r="K20" s="2"/>
      <c r="L20" s="2"/>
      <c r="M20" s="2"/>
      <c r="N20" s="3" t="s">
        <v>49</v>
      </c>
    </row>
    <row r="21" spans="1:14" ht="15.75" x14ac:dyDescent="0.25">
      <c r="A21" s="2">
        <f t="shared" si="0"/>
        <v>16</v>
      </c>
      <c r="B21" s="1" t="s">
        <v>29</v>
      </c>
      <c r="C21" s="2">
        <v>329936</v>
      </c>
      <c r="D21" s="2">
        <v>333824</v>
      </c>
      <c r="E21" s="2">
        <f t="shared" si="2"/>
        <v>3888</v>
      </c>
      <c r="F21" s="2">
        <v>392.68</v>
      </c>
      <c r="G21" s="6">
        <v>27995</v>
      </c>
      <c r="H21" s="2">
        <v>12910.63</v>
      </c>
      <c r="I21" s="2">
        <f t="shared" si="3"/>
        <v>9.901191810125292</v>
      </c>
      <c r="J21" s="2"/>
      <c r="K21" s="2"/>
      <c r="L21" s="2"/>
      <c r="M21" s="2"/>
      <c r="N21" s="3" t="s">
        <v>47</v>
      </c>
    </row>
    <row r="22" spans="1:14" ht="15.75" x14ac:dyDescent="0.25">
      <c r="A22" s="2">
        <f t="shared" si="0"/>
        <v>17</v>
      </c>
      <c r="B22" s="1" t="s">
        <v>30</v>
      </c>
      <c r="C22" s="2">
        <v>197472</v>
      </c>
      <c r="D22" s="2">
        <v>199903</v>
      </c>
      <c r="E22" s="2">
        <f t="shared" si="2"/>
        <v>2431</v>
      </c>
      <c r="F22" s="2">
        <v>239.46</v>
      </c>
      <c r="G22" s="6">
        <v>17154</v>
      </c>
      <c r="H22" s="2"/>
      <c r="I22" s="2">
        <f t="shared" si="3"/>
        <v>10.152008686210641</v>
      </c>
      <c r="J22" s="2"/>
      <c r="K22" s="2"/>
      <c r="L22" s="2"/>
      <c r="M22" s="2"/>
      <c r="N22" s="3" t="s">
        <v>50</v>
      </c>
    </row>
    <row r="23" spans="1:14" ht="15.75" x14ac:dyDescent="0.25">
      <c r="A23" s="2">
        <f t="shared" si="0"/>
        <v>18</v>
      </c>
      <c r="B23" s="1" t="s">
        <v>31</v>
      </c>
      <c r="C23" s="2">
        <v>218269</v>
      </c>
      <c r="D23" s="2">
        <v>220735</v>
      </c>
      <c r="E23" s="2">
        <f t="shared" si="2"/>
        <v>2466</v>
      </c>
      <c r="F23" s="2">
        <v>194.69</v>
      </c>
      <c r="G23" s="6">
        <v>13740</v>
      </c>
      <c r="H23" s="2">
        <v>5713.13</v>
      </c>
      <c r="I23" s="2">
        <f t="shared" si="3"/>
        <v>12.666289999486363</v>
      </c>
      <c r="J23" s="2"/>
      <c r="K23" s="2"/>
      <c r="L23" s="2"/>
      <c r="M23" s="2"/>
      <c r="N23" s="3" t="s">
        <v>47</v>
      </c>
    </row>
    <row r="24" spans="1:14" ht="15.75" x14ac:dyDescent="0.25">
      <c r="A24" s="2">
        <f t="shared" si="0"/>
        <v>19</v>
      </c>
      <c r="B24" s="1" t="s">
        <v>32</v>
      </c>
      <c r="C24" s="2">
        <v>161951</v>
      </c>
      <c r="D24" s="2">
        <v>166086</v>
      </c>
      <c r="E24" s="2">
        <f t="shared" si="2"/>
        <v>4135</v>
      </c>
      <c r="F24" s="2">
        <v>340.56</v>
      </c>
      <c r="G24" s="6">
        <v>24285.24</v>
      </c>
      <c r="H24" s="7">
        <v>23020.63</v>
      </c>
      <c r="I24" s="2">
        <f t="shared" si="3"/>
        <v>12.141766502231619</v>
      </c>
      <c r="J24" s="2"/>
      <c r="K24" s="2"/>
      <c r="L24" s="2"/>
      <c r="M24" s="2"/>
      <c r="N24" s="2" t="s">
        <v>49</v>
      </c>
    </row>
    <row r="25" spans="1:14" ht="15.75" x14ac:dyDescent="0.25">
      <c r="A25" s="2">
        <f t="shared" si="0"/>
        <v>20</v>
      </c>
      <c r="B25" s="1" t="s">
        <v>33</v>
      </c>
      <c r="C25" s="2">
        <v>52434</v>
      </c>
      <c r="D25" s="2">
        <v>55691</v>
      </c>
      <c r="E25" s="2">
        <f t="shared" si="2"/>
        <v>3257</v>
      </c>
      <c r="F25" s="2">
        <v>296.48</v>
      </c>
      <c r="G25" s="6">
        <v>22894.720000000001</v>
      </c>
      <c r="H25" s="7">
        <v>50149.13</v>
      </c>
      <c r="I25" s="2">
        <f t="shared" si="3"/>
        <v>10.985563950350782</v>
      </c>
      <c r="J25" s="2"/>
      <c r="K25" s="2"/>
      <c r="L25" s="2"/>
      <c r="M25" s="2"/>
      <c r="N25" s="3" t="s">
        <v>50</v>
      </c>
    </row>
    <row r="26" spans="1:14" ht="15.75" x14ac:dyDescent="0.25">
      <c r="A26" s="2">
        <f t="shared" si="0"/>
        <v>21</v>
      </c>
      <c r="B26" s="1" t="s">
        <v>34</v>
      </c>
      <c r="C26" s="2">
        <v>61059</v>
      </c>
      <c r="D26" s="2">
        <v>65383</v>
      </c>
      <c r="E26" s="2">
        <f t="shared" si="2"/>
        <v>4324</v>
      </c>
      <c r="F26" s="2">
        <v>346.34</v>
      </c>
      <c r="G26" s="6">
        <v>25658.28</v>
      </c>
      <c r="H26" s="2"/>
      <c r="I26" s="2">
        <f t="shared" si="3"/>
        <v>12.484841485245713</v>
      </c>
      <c r="J26" s="2"/>
      <c r="K26" s="2"/>
      <c r="L26" s="2"/>
      <c r="M26" s="2"/>
      <c r="N26" s="3" t="s">
        <v>50</v>
      </c>
    </row>
    <row r="27" spans="1:14" ht="15.75" x14ac:dyDescent="0.25">
      <c r="A27" s="2">
        <f t="shared" si="0"/>
        <v>22</v>
      </c>
      <c r="B27" s="1" t="s">
        <v>35</v>
      </c>
      <c r="C27" s="2">
        <v>171484</v>
      </c>
      <c r="D27" s="2">
        <v>174432</v>
      </c>
      <c r="E27" s="2">
        <f t="shared" si="2"/>
        <v>2948</v>
      </c>
      <c r="F27" s="2">
        <v>342.66</v>
      </c>
      <c r="G27" s="6">
        <v>24967.040000000001</v>
      </c>
      <c r="H27" s="7">
        <v>47975.63</v>
      </c>
      <c r="I27" s="2">
        <f t="shared" si="3"/>
        <v>8.6032802194595224</v>
      </c>
      <c r="J27" s="2"/>
      <c r="K27" s="2"/>
      <c r="L27" s="2"/>
      <c r="M27" s="2"/>
      <c r="N27" s="3" t="s">
        <v>48</v>
      </c>
    </row>
    <row r="28" spans="1:14" ht="15.75" x14ac:dyDescent="0.25">
      <c r="A28" s="2">
        <f t="shared" si="0"/>
        <v>23</v>
      </c>
      <c r="B28" s="1" t="s">
        <v>36</v>
      </c>
      <c r="C28" s="2">
        <v>359387</v>
      </c>
      <c r="D28" s="2">
        <v>360064</v>
      </c>
      <c r="E28" s="2">
        <f t="shared" si="2"/>
        <v>677</v>
      </c>
      <c r="F28" s="2">
        <v>116.18</v>
      </c>
      <c r="G28" s="6">
        <v>8093</v>
      </c>
      <c r="H28" s="11">
        <v>22208.38</v>
      </c>
      <c r="I28" s="2">
        <f t="shared" si="3"/>
        <v>5.8271647443621966</v>
      </c>
      <c r="J28" s="2"/>
      <c r="K28" s="2"/>
      <c r="L28" s="2"/>
      <c r="M28" s="2"/>
      <c r="N28" s="3" t="s">
        <v>47</v>
      </c>
    </row>
    <row r="29" spans="1:14" ht="15.75" x14ac:dyDescent="0.25">
      <c r="A29" s="2">
        <f t="shared" si="0"/>
        <v>24</v>
      </c>
      <c r="B29" s="1" t="s">
        <v>37</v>
      </c>
      <c r="C29" s="2">
        <v>33402</v>
      </c>
      <c r="D29" s="2">
        <v>36353</v>
      </c>
      <c r="E29" s="2">
        <f t="shared" si="2"/>
        <v>2951</v>
      </c>
      <c r="F29" s="2">
        <v>223.5</v>
      </c>
      <c r="G29" s="6">
        <v>15903.23</v>
      </c>
      <c r="H29" s="2"/>
      <c r="I29" s="2">
        <f t="shared" si="3"/>
        <v>13.203579418344519</v>
      </c>
      <c r="J29" s="2"/>
      <c r="K29" s="2"/>
      <c r="L29" s="2"/>
      <c r="M29" s="2"/>
      <c r="N29" s="3" t="s">
        <v>47</v>
      </c>
    </row>
    <row r="30" spans="1:14" ht="15.75" x14ac:dyDescent="0.25">
      <c r="A30" s="2">
        <f t="shared" si="0"/>
        <v>25</v>
      </c>
      <c r="B30" s="1" t="s">
        <v>38</v>
      </c>
      <c r="C30" s="2">
        <v>311857</v>
      </c>
      <c r="D30" s="2">
        <v>316564</v>
      </c>
      <c r="E30" s="2">
        <f t="shared" si="2"/>
        <v>4707</v>
      </c>
      <c r="F30" s="2">
        <v>584.79999999999995</v>
      </c>
      <c r="G30" s="6">
        <v>41590</v>
      </c>
      <c r="H30" s="7">
        <v>22691.38</v>
      </c>
      <c r="I30" s="2">
        <f t="shared" si="3"/>
        <v>8.0489056087551312</v>
      </c>
      <c r="J30" s="2"/>
      <c r="K30" s="2"/>
      <c r="L30" s="2"/>
      <c r="M30" s="2"/>
      <c r="N30" s="3" t="s">
        <v>47</v>
      </c>
    </row>
    <row r="31" spans="1:14" ht="15.75" x14ac:dyDescent="0.25">
      <c r="A31" s="2">
        <f t="shared" si="0"/>
        <v>26</v>
      </c>
      <c r="B31" s="1" t="s">
        <v>39</v>
      </c>
      <c r="C31" s="2">
        <v>350529</v>
      </c>
      <c r="D31" s="2">
        <v>353050</v>
      </c>
      <c r="E31" s="2">
        <f t="shared" si="2"/>
        <v>2521</v>
      </c>
      <c r="F31" s="2">
        <v>274.5</v>
      </c>
      <c r="G31" s="6">
        <v>19574.990000000002</v>
      </c>
      <c r="H31" s="2"/>
      <c r="I31" s="2">
        <f t="shared" si="3"/>
        <v>9.1839708561020039</v>
      </c>
      <c r="J31" s="2"/>
      <c r="K31" s="2"/>
      <c r="L31" s="2"/>
      <c r="M31" s="2"/>
      <c r="N31" s="3" t="s">
        <v>48</v>
      </c>
    </row>
    <row r="32" spans="1:14" ht="15.75" x14ac:dyDescent="0.25">
      <c r="A32" s="2">
        <f t="shared" si="0"/>
        <v>27</v>
      </c>
      <c r="B32" s="1" t="s">
        <v>40</v>
      </c>
      <c r="C32" s="2">
        <v>356718</v>
      </c>
      <c r="D32" s="2">
        <v>360217</v>
      </c>
      <c r="E32" s="2">
        <f t="shared" si="2"/>
        <v>3499</v>
      </c>
      <c r="F32" s="2">
        <v>228.77</v>
      </c>
      <c r="G32" s="2">
        <v>17812.259999999998</v>
      </c>
      <c r="H32" s="2">
        <v>5263.13</v>
      </c>
      <c r="I32" s="2">
        <f t="shared" si="3"/>
        <v>15.294837609826462</v>
      </c>
      <c r="J32" s="2"/>
      <c r="K32" s="2"/>
      <c r="L32" s="2"/>
      <c r="M32" s="2"/>
      <c r="N32" s="3" t="s">
        <v>48</v>
      </c>
    </row>
    <row r="33" spans="1:14" ht="15.75" x14ac:dyDescent="0.25">
      <c r="A33" s="2">
        <f t="shared" si="0"/>
        <v>28</v>
      </c>
      <c r="B33" s="1" t="s">
        <v>41</v>
      </c>
      <c r="C33" s="2">
        <v>81269</v>
      </c>
      <c r="D33" s="2">
        <v>84245</v>
      </c>
      <c r="E33" s="2">
        <f t="shared" si="2"/>
        <v>2976</v>
      </c>
      <c r="F33" s="2">
        <v>256.13</v>
      </c>
      <c r="G33" s="2">
        <v>17812.259999999998</v>
      </c>
      <c r="H33" s="2"/>
      <c r="I33" s="2">
        <f t="shared" si="3"/>
        <v>11.61909967594581</v>
      </c>
      <c r="J33" s="2"/>
      <c r="K33" s="2"/>
      <c r="L33" s="2"/>
      <c r="M33" s="2"/>
      <c r="N33" s="3" t="s">
        <v>48</v>
      </c>
    </row>
    <row r="34" spans="1:14" ht="15.75" x14ac:dyDescent="0.25">
      <c r="A34" s="2">
        <f t="shared" si="0"/>
        <v>29</v>
      </c>
      <c r="B34" s="1" t="s">
        <v>42</v>
      </c>
      <c r="C34" s="2">
        <v>57360</v>
      </c>
      <c r="D34" s="2">
        <v>65418</v>
      </c>
      <c r="E34" s="2">
        <f t="shared" si="2"/>
        <v>8058</v>
      </c>
      <c r="F34" s="2">
        <v>590.62</v>
      </c>
      <c r="G34" s="6">
        <v>38787</v>
      </c>
      <c r="H34" s="2"/>
      <c r="I34" s="2">
        <f t="shared" si="3"/>
        <v>13.643290101926789</v>
      </c>
      <c r="J34" s="2"/>
      <c r="K34" s="2"/>
      <c r="L34" s="2"/>
      <c r="M34" s="2"/>
      <c r="N34" s="3" t="s">
        <v>50</v>
      </c>
    </row>
    <row r="35" spans="1:14" ht="15.75" x14ac:dyDescent="0.25">
      <c r="A35" s="2">
        <f t="shared" si="0"/>
        <v>30</v>
      </c>
      <c r="B35" s="1" t="s">
        <v>43</v>
      </c>
      <c r="C35" s="2">
        <v>180340</v>
      </c>
      <c r="D35" s="2">
        <v>182900</v>
      </c>
      <c r="E35" s="2">
        <f t="shared" si="2"/>
        <v>2560</v>
      </c>
      <c r="F35" s="2">
        <v>479.83</v>
      </c>
      <c r="G35" s="6">
        <v>34400</v>
      </c>
      <c r="H35" s="2"/>
      <c r="I35" s="2">
        <f t="shared" si="3"/>
        <v>5.3352228914407185</v>
      </c>
      <c r="J35" s="2"/>
      <c r="K35" s="2"/>
      <c r="L35" s="2"/>
      <c r="M35" s="2"/>
      <c r="N35" s="3" t="s">
        <v>48</v>
      </c>
    </row>
    <row r="36" spans="1:14" ht="15.75" x14ac:dyDescent="0.25">
      <c r="A36" s="2">
        <f t="shared" si="0"/>
        <v>31</v>
      </c>
      <c r="B36" s="1" t="s">
        <v>44</v>
      </c>
      <c r="C36" s="2">
        <v>537841</v>
      </c>
      <c r="D36" s="2">
        <v>540745</v>
      </c>
      <c r="E36" s="2">
        <f t="shared" si="2"/>
        <v>2904</v>
      </c>
      <c r="F36" s="2">
        <v>313.19</v>
      </c>
      <c r="G36" s="6">
        <v>22463.01</v>
      </c>
      <c r="H36" s="2"/>
      <c r="I36" s="2">
        <f t="shared" si="3"/>
        <v>9.2723267026405694</v>
      </c>
      <c r="J36" s="2"/>
      <c r="K36" s="2"/>
      <c r="L36" s="2"/>
      <c r="M36" s="2"/>
      <c r="N36" s="3" t="s">
        <v>47</v>
      </c>
    </row>
    <row r="37" spans="1:14" ht="15.75" x14ac:dyDescent="0.25">
      <c r="A37" s="2">
        <f t="shared" si="0"/>
        <v>32</v>
      </c>
      <c r="B37" s="1" t="s">
        <v>45</v>
      </c>
      <c r="C37" s="2">
        <v>466807</v>
      </c>
      <c r="D37" s="2">
        <v>470625</v>
      </c>
      <c r="E37" s="2">
        <f t="shared" si="2"/>
        <v>3818</v>
      </c>
      <c r="F37" s="2">
        <v>343.78</v>
      </c>
      <c r="G37" s="7">
        <v>24902.89</v>
      </c>
      <c r="H37" s="7">
        <v>227511.67999999999</v>
      </c>
      <c r="I37" s="2">
        <f t="shared" si="3"/>
        <v>11.105939845249869</v>
      </c>
      <c r="J37" s="2"/>
      <c r="K37" s="2"/>
      <c r="L37" s="2"/>
      <c r="M37" s="2"/>
      <c r="N37" s="3" t="s">
        <v>47</v>
      </c>
    </row>
    <row r="38" spans="1:14" ht="18.75" x14ac:dyDescent="0.3">
      <c r="A38" s="2">
        <f t="shared" si="0"/>
        <v>33</v>
      </c>
      <c r="B38" s="2" t="s">
        <v>46</v>
      </c>
      <c r="C38" s="8" t="s">
        <v>52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3" t="s">
        <v>49</v>
      </c>
    </row>
    <row r="39" spans="1:14" x14ac:dyDescent="0.25">
      <c r="A39" s="2">
        <f t="shared" si="0"/>
        <v>34</v>
      </c>
      <c r="B39" s="2" t="s">
        <v>41</v>
      </c>
      <c r="C39" s="2">
        <v>81269</v>
      </c>
      <c r="D39" s="2">
        <v>84245</v>
      </c>
      <c r="E39" s="2">
        <f t="shared" ref="E39:E47" si="4">D39-C39</f>
        <v>2976</v>
      </c>
      <c r="F39" s="2">
        <v>256.73</v>
      </c>
      <c r="G39" s="6">
        <v>17812</v>
      </c>
      <c r="H39" s="2"/>
      <c r="I39" s="2">
        <f t="shared" ref="I39:I47" si="5">E39/F39</f>
        <v>11.59194484477856</v>
      </c>
      <c r="J39" s="2"/>
      <c r="K39" s="2"/>
      <c r="L39" s="2"/>
      <c r="M39" s="2"/>
      <c r="N39" s="2" t="s">
        <v>50</v>
      </c>
    </row>
    <row r="40" spans="1:14" x14ac:dyDescent="0.25">
      <c r="A40" s="2">
        <f t="shared" si="0"/>
        <v>35</v>
      </c>
      <c r="B40" s="2" t="s">
        <v>53</v>
      </c>
      <c r="C40" s="2">
        <v>277050</v>
      </c>
      <c r="D40" s="2">
        <v>279971</v>
      </c>
      <c r="E40" s="2">
        <f t="shared" si="4"/>
        <v>2921</v>
      </c>
      <c r="F40" s="2">
        <v>412.08</v>
      </c>
      <c r="G40" s="6">
        <v>29000</v>
      </c>
      <c r="H40" s="2"/>
      <c r="I40" s="2">
        <f t="shared" si="5"/>
        <v>7.0884294311784126</v>
      </c>
      <c r="J40" s="2"/>
      <c r="K40" s="2"/>
      <c r="L40" s="2"/>
      <c r="M40" s="2"/>
      <c r="N40" s="2" t="s">
        <v>47</v>
      </c>
    </row>
    <row r="41" spans="1:14" x14ac:dyDescent="0.25">
      <c r="A41" s="2">
        <f t="shared" si="0"/>
        <v>36</v>
      </c>
      <c r="B41" s="2" t="s">
        <v>54</v>
      </c>
      <c r="C41" s="2">
        <v>96546</v>
      </c>
      <c r="D41" s="2">
        <v>98116</v>
      </c>
      <c r="E41" s="2">
        <f t="shared" si="4"/>
        <v>1570</v>
      </c>
      <c r="F41" s="2">
        <v>235.9</v>
      </c>
      <c r="G41" s="6">
        <v>16445</v>
      </c>
      <c r="H41" s="2"/>
      <c r="I41" s="2">
        <f t="shared" si="5"/>
        <v>6.6553624417125903</v>
      </c>
      <c r="J41" s="2"/>
      <c r="K41" s="2"/>
      <c r="L41" s="2"/>
      <c r="M41" s="2"/>
      <c r="N41" s="2" t="s">
        <v>49</v>
      </c>
    </row>
    <row r="42" spans="1:14" x14ac:dyDescent="0.25">
      <c r="A42" s="2">
        <f t="shared" si="0"/>
        <v>37</v>
      </c>
      <c r="B42" s="2" t="s">
        <v>55</v>
      </c>
      <c r="C42" s="2">
        <v>179249</v>
      </c>
      <c r="D42" s="2">
        <v>183195</v>
      </c>
      <c r="E42" s="2">
        <f t="shared" si="4"/>
        <v>3946</v>
      </c>
      <c r="F42" s="2">
        <v>672.79</v>
      </c>
      <c r="G42" s="6">
        <v>47181.88</v>
      </c>
      <c r="H42" s="2"/>
      <c r="I42" s="2">
        <f t="shared" si="5"/>
        <v>5.8651287920450663</v>
      </c>
      <c r="J42" s="2"/>
      <c r="K42" s="2"/>
      <c r="L42" s="2"/>
      <c r="M42" s="2"/>
      <c r="N42" s="2" t="s">
        <v>50</v>
      </c>
    </row>
    <row r="43" spans="1:14" x14ac:dyDescent="0.25">
      <c r="A43" s="2">
        <f t="shared" si="0"/>
        <v>38</v>
      </c>
      <c r="B43" s="2" t="s">
        <v>56</v>
      </c>
      <c r="C43" s="2">
        <v>188345</v>
      </c>
      <c r="D43" s="2">
        <v>191091</v>
      </c>
      <c r="E43" s="2">
        <f t="shared" si="4"/>
        <v>2746</v>
      </c>
      <c r="F43" s="2">
        <v>272</v>
      </c>
      <c r="G43" s="6">
        <v>18818</v>
      </c>
      <c r="H43" s="2"/>
      <c r="I43" s="2">
        <f t="shared" si="5"/>
        <v>10.095588235294118</v>
      </c>
      <c r="J43" s="2"/>
      <c r="K43" s="2"/>
      <c r="L43" s="2"/>
      <c r="M43" s="2"/>
      <c r="N43" s="2" t="s">
        <v>50</v>
      </c>
    </row>
    <row r="44" spans="1:14" x14ac:dyDescent="0.25">
      <c r="A44" s="2">
        <f t="shared" si="0"/>
        <v>39</v>
      </c>
      <c r="B44" s="2" t="s">
        <v>57</v>
      </c>
      <c r="C44" s="2">
        <v>71960</v>
      </c>
      <c r="D44" s="2">
        <v>75336</v>
      </c>
      <c r="E44" s="2">
        <f t="shared" si="4"/>
        <v>3376</v>
      </c>
      <c r="F44" s="2">
        <v>303.92</v>
      </c>
      <c r="G44" s="6">
        <v>21250.74</v>
      </c>
      <c r="H44" s="2"/>
      <c r="I44" s="2">
        <f t="shared" si="5"/>
        <v>11.10818636483285</v>
      </c>
      <c r="J44" s="2"/>
      <c r="K44" s="2"/>
      <c r="L44" s="2"/>
      <c r="M44" s="2"/>
      <c r="N44" s="2" t="s">
        <v>50</v>
      </c>
    </row>
    <row r="45" spans="1:14" x14ac:dyDescent="0.25">
      <c r="A45" s="2">
        <f t="shared" si="0"/>
        <v>40</v>
      </c>
      <c r="B45" s="2" t="s">
        <v>58</v>
      </c>
      <c r="C45" s="2">
        <v>71824</v>
      </c>
      <c r="D45" s="2">
        <v>74510</v>
      </c>
      <c r="E45" s="2">
        <f t="shared" si="4"/>
        <v>2686</v>
      </c>
      <c r="F45" s="2">
        <v>379.86</v>
      </c>
      <c r="G45" s="6">
        <v>26803.599999999999</v>
      </c>
      <c r="H45" s="2"/>
      <c r="I45" s="2">
        <f t="shared" si="5"/>
        <v>7.0710261675354076</v>
      </c>
      <c r="J45" s="2"/>
      <c r="K45" s="2"/>
      <c r="L45" s="2"/>
      <c r="M45" s="2"/>
      <c r="N45" s="2" t="s">
        <v>50</v>
      </c>
    </row>
    <row r="46" spans="1:14" x14ac:dyDescent="0.25">
      <c r="A46" s="2">
        <f t="shared" si="0"/>
        <v>41</v>
      </c>
      <c r="B46" s="2" t="s">
        <v>59</v>
      </c>
      <c r="C46" s="2">
        <v>556431</v>
      </c>
      <c r="D46" s="2">
        <v>558352</v>
      </c>
      <c r="E46" s="2">
        <f t="shared" si="4"/>
        <v>1921</v>
      </c>
      <c r="F46" s="2">
        <v>224.83</v>
      </c>
      <c r="G46" s="2">
        <v>15893.99</v>
      </c>
      <c r="H46" s="2"/>
      <c r="I46" s="2">
        <f t="shared" si="5"/>
        <v>8.5442334208068313</v>
      </c>
      <c r="J46" s="2"/>
      <c r="K46" s="2"/>
      <c r="L46" s="2"/>
      <c r="M46" s="2"/>
      <c r="N46" s="2" t="s">
        <v>49</v>
      </c>
    </row>
    <row r="47" spans="1:14" x14ac:dyDescent="0.25">
      <c r="A47" s="9">
        <v>42</v>
      </c>
      <c r="B47" s="2" t="s">
        <v>60</v>
      </c>
      <c r="C47" s="2">
        <v>130814</v>
      </c>
      <c r="D47" s="2">
        <v>133446</v>
      </c>
      <c r="E47" s="2">
        <f t="shared" si="4"/>
        <v>2632</v>
      </c>
      <c r="F47" s="2">
        <v>248.08</v>
      </c>
      <c r="G47" s="10">
        <v>16950</v>
      </c>
      <c r="H47" s="9"/>
      <c r="I47" s="2">
        <f t="shared" si="5"/>
        <v>10.609480812641083</v>
      </c>
      <c r="J47" s="2"/>
      <c r="K47" s="2"/>
      <c r="L47" s="2"/>
      <c r="M47" s="2"/>
      <c r="N47" s="2" t="s">
        <v>50</v>
      </c>
    </row>
  </sheetData>
  <mergeCells count="1">
    <mergeCell ref="A3:N3"/>
  </mergeCells>
  <dataValidations count="1">
    <dataValidation type="list" allowBlank="1" showInputMessage="1" showErrorMessage="1" sqref="N6:N38" xr:uid="{00000000-0002-0000-0000-000000000000}">
      <formula1>"Very Good , Excellent , Good , Poor"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view="pageBreakPreview" topLeftCell="A4" zoomScale="60" zoomScaleNormal="100" workbookViewId="0">
      <selection activeCell="H14" sqref="H14"/>
    </sheetView>
  </sheetViews>
  <sheetFormatPr defaultRowHeight="23.25" x14ac:dyDescent="0.35"/>
  <cols>
    <col min="1" max="1" width="4.85546875" style="12" customWidth="1"/>
    <col min="2" max="2" width="29.28515625" style="26" customWidth="1"/>
    <col min="3" max="3" width="16" style="15" hidden="1" customWidth="1"/>
    <col min="4" max="4" width="13.140625" style="15" hidden="1" customWidth="1"/>
    <col min="5" max="5" width="14.140625" style="15" customWidth="1"/>
    <col min="6" max="6" width="20" style="12" customWidth="1"/>
    <col min="7" max="7" width="18.42578125" style="12" customWidth="1"/>
    <col min="8" max="8" width="20.7109375" style="27" customWidth="1"/>
    <col min="9" max="10" width="13.7109375" style="27" customWidth="1"/>
    <col min="11" max="11" width="12.5703125" style="27" customWidth="1"/>
    <col min="12" max="12" width="16.140625" style="27" customWidth="1"/>
    <col min="13" max="13" width="12.140625" style="27" customWidth="1"/>
    <col min="14" max="14" width="15.5703125" style="27" customWidth="1"/>
    <col min="15" max="16384" width="9.140625" style="12"/>
  </cols>
  <sheetData>
    <row r="1" spans="1:14" x14ac:dyDescent="0.35">
      <c r="A1" s="31" t="s">
        <v>80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3" spans="1:14" s="15" customFormat="1" ht="116.25" x14ac:dyDescent="0.25">
      <c r="A3" s="13" t="s">
        <v>0</v>
      </c>
      <c r="B3" s="14" t="s">
        <v>81</v>
      </c>
      <c r="C3" s="14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4" t="s">
        <v>84</v>
      </c>
      <c r="K3" s="14" t="s">
        <v>8</v>
      </c>
      <c r="L3" s="14" t="s">
        <v>83</v>
      </c>
      <c r="M3" s="14" t="s">
        <v>82</v>
      </c>
      <c r="N3" s="14" t="s">
        <v>12</v>
      </c>
    </row>
    <row r="4" spans="1:14" x14ac:dyDescent="0.35">
      <c r="A4" s="16">
        <v>1</v>
      </c>
      <c r="B4" s="17" t="s">
        <v>62</v>
      </c>
      <c r="C4" s="18">
        <v>0</v>
      </c>
      <c r="D4" s="18">
        <v>0</v>
      </c>
      <c r="E4" s="18">
        <v>0</v>
      </c>
      <c r="F4" s="19">
        <f>G4/77.65</f>
        <v>167.41790083708949</v>
      </c>
      <c r="G4" s="19">
        <v>13000</v>
      </c>
      <c r="H4" s="20">
        <v>0</v>
      </c>
      <c r="I4" s="21">
        <v>0</v>
      </c>
      <c r="J4" s="21">
        <v>26</v>
      </c>
      <c r="K4" s="21">
        <v>26</v>
      </c>
      <c r="L4" s="21">
        <v>0</v>
      </c>
      <c r="M4" s="21">
        <v>26</v>
      </c>
      <c r="N4" s="22" t="s">
        <v>47</v>
      </c>
    </row>
    <row r="5" spans="1:14" x14ac:dyDescent="0.35">
      <c r="A5" s="16">
        <f>A4+1</f>
        <v>2</v>
      </c>
      <c r="B5" s="23" t="s">
        <v>63</v>
      </c>
      <c r="C5" s="18">
        <v>0</v>
      </c>
      <c r="D5" s="18">
        <v>0</v>
      </c>
      <c r="E5" s="18">
        <f>D5-C5</f>
        <v>0</v>
      </c>
      <c r="F5" s="19">
        <f t="shared" ref="F5:F6" si="0">G5/77.65</f>
        <v>152.01545396007725</v>
      </c>
      <c r="G5" s="19">
        <v>11804</v>
      </c>
      <c r="H5" s="20">
        <v>0</v>
      </c>
      <c r="I5" s="21">
        <f>E5/F5</f>
        <v>0</v>
      </c>
      <c r="J5" s="21">
        <v>26</v>
      </c>
      <c r="K5" s="21">
        <v>26</v>
      </c>
      <c r="L5" s="21">
        <v>0</v>
      </c>
      <c r="M5" s="21">
        <v>26</v>
      </c>
      <c r="N5" s="22" t="s">
        <v>47</v>
      </c>
    </row>
    <row r="6" spans="1:14" x14ac:dyDescent="0.35">
      <c r="A6" s="16">
        <f t="shared" ref="A6:A21" si="1">A5+1</f>
        <v>3</v>
      </c>
      <c r="B6" s="17" t="s">
        <v>64</v>
      </c>
      <c r="C6" s="18">
        <v>0</v>
      </c>
      <c r="D6" s="18">
        <v>0</v>
      </c>
      <c r="E6" s="18">
        <f t="shared" ref="E6:E21" si="2">D6-C6</f>
        <v>0</v>
      </c>
      <c r="F6" s="19">
        <f t="shared" si="0"/>
        <v>135.68576947842882</v>
      </c>
      <c r="G6" s="19">
        <v>10536</v>
      </c>
      <c r="H6" s="20">
        <v>0</v>
      </c>
      <c r="I6" s="21">
        <f>E6/F6</f>
        <v>0</v>
      </c>
      <c r="J6" s="21">
        <v>26</v>
      </c>
      <c r="K6" s="21">
        <v>26</v>
      </c>
      <c r="L6" s="21">
        <v>0</v>
      </c>
      <c r="M6" s="21">
        <v>26</v>
      </c>
      <c r="N6" s="22" t="s">
        <v>47</v>
      </c>
    </row>
    <row r="7" spans="1:14" x14ac:dyDescent="0.35">
      <c r="A7" s="16">
        <f t="shared" si="1"/>
        <v>4</v>
      </c>
      <c r="B7" s="23" t="s">
        <v>65</v>
      </c>
      <c r="C7" s="18">
        <v>270789</v>
      </c>
      <c r="D7" s="18">
        <v>271485</v>
      </c>
      <c r="E7" s="18">
        <f t="shared" si="2"/>
        <v>696</v>
      </c>
      <c r="F7" s="19">
        <f>G7/77.65</f>
        <v>103.026400515132</v>
      </c>
      <c r="G7" s="19">
        <v>8000</v>
      </c>
      <c r="H7" s="20">
        <v>0</v>
      </c>
      <c r="I7" s="21">
        <f t="shared" ref="I7:I21" si="3">E7/F7</f>
        <v>6.7555500000000004</v>
      </c>
      <c r="J7" s="21">
        <v>26</v>
      </c>
      <c r="K7" s="21">
        <v>26</v>
      </c>
      <c r="L7" s="21">
        <v>0</v>
      </c>
      <c r="M7" s="21">
        <v>26</v>
      </c>
      <c r="N7" s="22" t="s">
        <v>47</v>
      </c>
    </row>
    <row r="8" spans="1:14" x14ac:dyDescent="0.35">
      <c r="A8" s="16">
        <f t="shared" si="1"/>
        <v>5</v>
      </c>
      <c r="B8" s="17" t="s">
        <v>66</v>
      </c>
      <c r="C8" s="18">
        <v>206767</v>
      </c>
      <c r="D8" s="18">
        <v>208459</v>
      </c>
      <c r="E8" s="18">
        <f t="shared" si="2"/>
        <v>1692</v>
      </c>
      <c r="F8" s="19">
        <f t="shared" ref="F8:F21" si="4">G8/77.65</f>
        <v>126.2073406310367</v>
      </c>
      <c r="G8" s="19">
        <v>9800</v>
      </c>
      <c r="H8" s="20">
        <v>0</v>
      </c>
      <c r="I8" s="21">
        <f t="shared" si="3"/>
        <v>13.406510204081632</v>
      </c>
      <c r="J8" s="21">
        <v>26</v>
      </c>
      <c r="K8" s="21">
        <v>26</v>
      </c>
      <c r="L8" s="21">
        <v>0</v>
      </c>
      <c r="M8" s="21">
        <v>26</v>
      </c>
      <c r="N8" s="22" t="s">
        <v>47</v>
      </c>
    </row>
    <row r="9" spans="1:14" x14ac:dyDescent="0.35">
      <c r="A9" s="16">
        <f t="shared" si="1"/>
        <v>6</v>
      </c>
      <c r="B9" s="24" t="s">
        <v>67</v>
      </c>
      <c r="C9" s="18">
        <v>133041</v>
      </c>
      <c r="D9" s="18">
        <v>133818</v>
      </c>
      <c r="E9" s="18">
        <f t="shared" si="2"/>
        <v>777</v>
      </c>
      <c r="F9" s="19">
        <f t="shared" si="4"/>
        <v>97.231165486155817</v>
      </c>
      <c r="G9" s="19">
        <v>7550</v>
      </c>
      <c r="H9" s="20">
        <v>0</v>
      </c>
      <c r="I9" s="21">
        <f t="shared" si="3"/>
        <v>7.9912649006622525</v>
      </c>
      <c r="J9" s="21">
        <v>26</v>
      </c>
      <c r="K9" s="21">
        <v>26</v>
      </c>
      <c r="L9" s="21">
        <v>0</v>
      </c>
      <c r="M9" s="21">
        <v>26</v>
      </c>
      <c r="N9" s="22" t="s">
        <v>47</v>
      </c>
    </row>
    <row r="10" spans="1:14" x14ac:dyDescent="0.35">
      <c r="A10" s="16">
        <f t="shared" si="1"/>
        <v>7</v>
      </c>
      <c r="B10" s="25" t="s">
        <v>68</v>
      </c>
      <c r="C10" s="18">
        <v>213784</v>
      </c>
      <c r="D10" s="18">
        <v>214059</v>
      </c>
      <c r="E10" s="18">
        <f t="shared" si="2"/>
        <v>275</v>
      </c>
      <c r="F10" s="19">
        <f t="shared" si="4"/>
        <v>24.9967804249839</v>
      </c>
      <c r="G10" s="19">
        <v>1941</v>
      </c>
      <c r="H10" s="20">
        <v>0</v>
      </c>
      <c r="I10" s="21">
        <f>E10/F10</f>
        <v>11.001416795466255</v>
      </c>
      <c r="J10" s="21">
        <v>26</v>
      </c>
      <c r="K10" s="21">
        <v>26</v>
      </c>
      <c r="L10" s="21">
        <v>0</v>
      </c>
      <c r="M10" s="21">
        <v>26</v>
      </c>
      <c r="N10" s="22" t="s">
        <v>47</v>
      </c>
    </row>
    <row r="11" spans="1:14" x14ac:dyDescent="0.35">
      <c r="A11" s="16">
        <f t="shared" si="1"/>
        <v>8</v>
      </c>
      <c r="B11" s="23" t="s">
        <v>69</v>
      </c>
      <c r="C11" s="18">
        <v>186806</v>
      </c>
      <c r="D11" s="18">
        <v>189252</v>
      </c>
      <c r="E11" s="18">
        <f t="shared" si="2"/>
        <v>2446</v>
      </c>
      <c r="F11" s="19">
        <f t="shared" si="4"/>
        <v>260.29620090148097</v>
      </c>
      <c r="G11" s="19">
        <v>20212</v>
      </c>
      <c r="H11" s="20">
        <v>0</v>
      </c>
      <c r="I11" s="21">
        <f t="shared" si="3"/>
        <v>9.3969869384524056</v>
      </c>
      <c r="J11" s="21">
        <v>26</v>
      </c>
      <c r="K11" s="21">
        <v>26</v>
      </c>
      <c r="L11" s="21">
        <v>0</v>
      </c>
      <c r="M11" s="21">
        <v>26</v>
      </c>
      <c r="N11" s="22" t="s">
        <v>47</v>
      </c>
    </row>
    <row r="12" spans="1:14" x14ac:dyDescent="0.35">
      <c r="A12" s="16">
        <f t="shared" si="1"/>
        <v>9</v>
      </c>
      <c r="B12" s="17" t="s">
        <v>72</v>
      </c>
      <c r="C12" s="18">
        <v>93197</v>
      </c>
      <c r="D12" s="18">
        <v>94941</v>
      </c>
      <c r="E12" s="18">
        <f t="shared" si="2"/>
        <v>1744</v>
      </c>
      <c r="F12" s="19">
        <f t="shared" si="4"/>
        <v>211.51320025756598</v>
      </c>
      <c r="G12" s="19">
        <v>16424</v>
      </c>
      <c r="H12" s="20">
        <v>2450</v>
      </c>
      <c r="I12" s="21">
        <f t="shared" si="3"/>
        <v>8.245348270823186</v>
      </c>
      <c r="J12" s="21">
        <v>26</v>
      </c>
      <c r="K12" s="21">
        <v>26</v>
      </c>
      <c r="L12" s="21">
        <v>0</v>
      </c>
      <c r="M12" s="21">
        <v>26</v>
      </c>
      <c r="N12" s="22" t="s">
        <v>47</v>
      </c>
    </row>
    <row r="13" spans="1:14" x14ac:dyDescent="0.35">
      <c r="A13" s="16">
        <f t="shared" si="1"/>
        <v>10</v>
      </c>
      <c r="B13" s="23" t="s">
        <v>70</v>
      </c>
      <c r="C13" s="18">
        <v>221056</v>
      </c>
      <c r="D13" s="18">
        <v>222632</v>
      </c>
      <c r="E13" s="18">
        <f t="shared" si="2"/>
        <v>1576</v>
      </c>
      <c r="F13" s="19">
        <f t="shared" si="4"/>
        <v>171.95106245975529</v>
      </c>
      <c r="G13" s="19">
        <v>13352</v>
      </c>
      <c r="H13" s="20">
        <v>0</v>
      </c>
      <c r="I13" s="21">
        <f t="shared" si="3"/>
        <v>9.1653984421809476</v>
      </c>
      <c r="J13" s="21">
        <v>26</v>
      </c>
      <c r="K13" s="21">
        <v>26</v>
      </c>
      <c r="L13" s="21">
        <v>0</v>
      </c>
      <c r="M13" s="21">
        <v>26</v>
      </c>
      <c r="N13" s="22" t="s">
        <v>47</v>
      </c>
    </row>
    <row r="14" spans="1:14" x14ac:dyDescent="0.35">
      <c r="A14" s="16">
        <f t="shared" si="1"/>
        <v>11</v>
      </c>
      <c r="B14" s="17" t="s">
        <v>75</v>
      </c>
      <c r="C14" s="18">
        <v>91526</v>
      </c>
      <c r="D14" s="18">
        <v>92524</v>
      </c>
      <c r="E14" s="18">
        <f t="shared" si="2"/>
        <v>998</v>
      </c>
      <c r="F14" s="19">
        <f t="shared" si="4"/>
        <v>144.90663232453315</v>
      </c>
      <c r="G14" s="19">
        <v>11252</v>
      </c>
      <c r="H14" s="20">
        <f>750+6325+2875+2450</f>
        <v>12400</v>
      </c>
      <c r="I14" s="21">
        <f t="shared" si="3"/>
        <v>6.8871933878421618</v>
      </c>
      <c r="J14" s="21">
        <v>26</v>
      </c>
      <c r="K14" s="21">
        <v>26</v>
      </c>
      <c r="L14" s="21">
        <v>0</v>
      </c>
      <c r="M14" s="21">
        <v>26</v>
      </c>
      <c r="N14" s="22" t="s">
        <v>47</v>
      </c>
    </row>
    <row r="15" spans="1:14" x14ac:dyDescent="0.35">
      <c r="A15" s="16">
        <f t="shared" si="1"/>
        <v>12</v>
      </c>
      <c r="B15" s="25" t="s">
        <v>76</v>
      </c>
      <c r="C15" s="18">
        <v>97625</v>
      </c>
      <c r="D15" s="18">
        <v>99512</v>
      </c>
      <c r="E15" s="18">
        <f t="shared" si="2"/>
        <v>1887</v>
      </c>
      <c r="F15" s="19">
        <f t="shared" si="4"/>
        <v>119.53638119768189</v>
      </c>
      <c r="G15" s="19">
        <v>9282</v>
      </c>
      <c r="H15" s="20">
        <f>11634+15124.34+2875</f>
        <v>29633.34</v>
      </c>
      <c r="I15" s="21">
        <f t="shared" si="3"/>
        <v>15.785989010989013</v>
      </c>
      <c r="J15" s="21">
        <v>26</v>
      </c>
      <c r="K15" s="21">
        <v>26</v>
      </c>
      <c r="L15" s="21">
        <v>0</v>
      </c>
      <c r="M15" s="21">
        <v>26</v>
      </c>
      <c r="N15" s="22" t="s">
        <v>47</v>
      </c>
    </row>
    <row r="16" spans="1:14" x14ac:dyDescent="0.35">
      <c r="A16" s="16">
        <f t="shared" si="1"/>
        <v>13</v>
      </c>
      <c r="B16" s="17" t="s">
        <v>77</v>
      </c>
      <c r="C16" s="18">
        <v>2894</v>
      </c>
      <c r="D16" s="18">
        <v>3732</v>
      </c>
      <c r="E16" s="18">
        <f t="shared" si="2"/>
        <v>838</v>
      </c>
      <c r="F16" s="19">
        <f t="shared" si="4"/>
        <v>106.98003863490018</v>
      </c>
      <c r="G16" s="19">
        <v>8307</v>
      </c>
      <c r="H16" s="20">
        <v>0</v>
      </c>
      <c r="I16" s="21">
        <f t="shared" si="3"/>
        <v>7.833237029011678</v>
      </c>
      <c r="J16" s="21">
        <v>26</v>
      </c>
      <c r="K16" s="21">
        <v>26</v>
      </c>
      <c r="L16" s="21">
        <v>0</v>
      </c>
      <c r="M16" s="21">
        <v>26</v>
      </c>
      <c r="N16" s="22" t="s">
        <v>47</v>
      </c>
    </row>
    <row r="17" spans="1:14" x14ac:dyDescent="0.35">
      <c r="A17" s="16">
        <f t="shared" si="1"/>
        <v>14</v>
      </c>
      <c r="B17" s="23" t="s">
        <v>78</v>
      </c>
      <c r="C17" s="18">
        <v>6612</v>
      </c>
      <c r="D17" s="18">
        <v>10001</v>
      </c>
      <c r="E17" s="18">
        <f t="shared" si="2"/>
        <v>3389</v>
      </c>
      <c r="F17" s="19">
        <f t="shared" si="4"/>
        <v>153.83129426915647</v>
      </c>
      <c r="G17" s="19">
        <v>11945</v>
      </c>
      <c r="H17" s="20">
        <v>0</v>
      </c>
      <c r="I17" s="21">
        <f t="shared" si="3"/>
        <v>22.030627877773128</v>
      </c>
      <c r="J17" s="21">
        <v>26</v>
      </c>
      <c r="K17" s="21">
        <v>26</v>
      </c>
      <c r="L17" s="21">
        <v>0</v>
      </c>
      <c r="M17" s="21">
        <v>26</v>
      </c>
      <c r="N17" s="22" t="s">
        <v>47</v>
      </c>
    </row>
    <row r="18" spans="1:14" x14ac:dyDescent="0.35">
      <c r="A18" s="16">
        <f t="shared" si="1"/>
        <v>15</v>
      </c>
      <c r="B18" s="23" t="s">
        <v>79</v>
      </c>
      <c r="C18" s="18">
        <v>43760</v>
      </c>
      <c r="D18" s="18">
        <v>45080</v>
      </c>
      <c r="E18" s="18">
        <f t="shared" si="2"/>
        <v>1320</v>
      </c>
      <c r="F18" s="19">
        <f t="shared" si="4"/>
        <v>256.99935608499675</v>
      </c>
      <c r="G18" s="19">
        <v>19956</v>
      </c>
      <c r="H18" s="20">
        <v>0</v>
      </c>
      <c r="I18" s="21">
        <f t="shared" si="3"/>
        <v>5.1361996392062546</v>
      </c>
      <c r="J18" s="21">
        <v>26</v>
      </c>
      <c r="K18" s="21">
        <v>26</v>
      </c>
      <c r="L18" s="21">
        <v>0</v>
      </c>
      <c r="M18" s="21">
        <v>26</v>
      </c>
      <c r="N18" s="22" t="s">
        <v>47</v>
      </c>
    </row>
    <row r="19" spans="1:14" x14ac:dyDescent="0.35">
      <c r="A19" s="16">
        <f t="shared" si="1"/>
        <v>16</v>
      </c>
      <c r="B19" s="23" t="s">
        <v>73</v>
      </c>
      <c r="C19" s="18">
        <v>34150</v>
      </c>
      <c r="D19" s="18">
        <v>35699</v>
      </c>
      <c r="E19" s="18">
        <f t="shared" si="2"/>
        <v>1549</v>
      </c>
      <c r="F19" s="19">
        <f t="shared" si="4"/>
        <v>147.46941403734706</v>
      </c>
      <c r="G19" s="19">
        <v>11451</v>
      </c>
      <c r="H19" s="20">
        <v>0</v>
      </c>
      <c r="I19" s="21">
        <f t="shared" si="3"/>
        <v>10.503873024190028</v>
      </c>
      <c r="J19" s="21">
        <v>26</v>
      </c>
      <c r="K19" s="21">
        <v>26</v>
      </c>
      <c r="L19" s="21">
        <v>0</v>
      </c>
      <c r="M19" s="21">
        <v>26</v>
      </c>
      <c r="N19" s="22" t="s">
        <v>47</v>
      </c>
    </row>
    <row r="20" spans="1:14" x14ac:dyDescent="0.35">
      <c r="A20" s="16">
        <f t="shared" si="1"/>
        <v>17</v>
      </c>
      <c r="B20" s="25" t="s">
        <v>71</v>
      </c>
      <c r="C20" s="18">
        <v>274912</v>
      </c>
      <c r="D20" s="18">
        <v>275690</v>
      </c>
      <c r="E20" s="18">
        <f t="shared" si="2"/>
        <v>778</v>
      </c>
      <c r="F20" s="19">
        <f t="shared" si="4"/>
        <v>71.925305859626519</v>
      </c>
      <c r="G20" s="19">
        <v>5585</v>
      </c>
      <c r="H20" s="20">
        <v>0</v>
      </c>
      <c r="I20" s="21">
        <f t="shared" si="3"/>
        <v>10.816777081468221</v>
      </c>
      <c r="J20" s="21">
        <v>26</v>
      </c>
      <c r="K20" s="21">
        <v>26</v>
      </c>
      <c r="L20" s="21">
        <v>0</v>
      </c>
      <c r="M20" s="21">
        <v>26</v>
      </c>
      <c r="N20" s="22" t="s">
        <v>47</v>
      </c>
    </row>
    <row r="21" spans="1:14" x14ac:dyDescent="0.35">
      <c r="A21" s="16">
        <f t="shared" si="1"/>
        <v>18</v>
      </c>
      <c r="B21" s="24" t="s">
        <v>74</v>
      </c>
      <c r="C21" s="18">
        <v>48490</v>
      </c>
      <c r="D21" s="18">
        <v>49259</v>
      </c>
      <c r="E21" s="18">
        <f t="shared" si="2"/>
        <v>769</v>
      </c>
      <c r="F21" s="19">
        <f t="shared" si="4"/>
        <v>56.14938828074694</v>
      </c>
      <c r="G21" s="19">
        <v>4360</v>
      </c>
      <c r="H21" s="20">
        <v>0</v>
      </c>
      <c r="I21" s="21">
        <f t="shared" si="3"/>
        <v>13.695607798165138</v>
      </c>
      <c r="J21" s="21">
        <v>26</v>
      </c>
      <c r="K21" s="21">
        <v>26</v>
      </c>
      <c r="L21" s="21">
        <v>0</v>
      </c>
      <c r="M21" s="21">
        <v>26</v>
      </c>
      <c r="N21" s="22" t="s">
        <v>47</v>
      </c>
    </row>
  </sheetData>
  <mergeCells count="1">
    <mergeCell ref="A1:N1"/>
  </mergeCells>
  <dataValidations count="1">
    <dataValidation type="list" allowBlank="1" showInputMessage="1" showErrorMessage="1" sqref="N4:N21" xr:uid="{00000000-0002-0000-0100-000000000000}">
      <formula1>"Very Good , Excellent , Good , Poor"</formula1>
    </dataValidation>
  </dataValidations>
  <pageMargins left="0.7" right="0.7" top="0.75" bottom="0.75" header="0.3" footer="0.3"/>
  <pageSetup scale="4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4"/>
  <sheetViews>
    <sheetView tabSelected="1" zoomScaleNormal="100" zoomScaleSheetLayoutView="100" workbookViewId="0">
      <selection activeCell="C3" sqref="C3"/>
    </sheetView>
  </sheetViews>
  <sheetFormatPr defaultRowHeight="23.25" x14ac:dyDescent="0.35"/>
  <cols>
    <col min="1" max="1" width="4.85546875" style="12" customWidth="1"/>
    <col min="2" max="2" width="29.28515625" style="26" customWidth="1"/>
    <col min="3" max="3" width="16" style="15" customWidth="1"/>
    <col min="4" max="4" width="13.140625" style="15" customWidth="1"/>
    <col min="5" max="5" width="14.140625" style="15" customWidth="1"/>
    <col min="6" max="6" width="20" style="12" customWidth="1"/>
    <col min="7" max="7" width="18.42578125" style="12" customWidth="1"/>
    <col min="8" max="8" width="20.7109375" style="27" customWidth="1"/>
    <col min="9" max="10" width="13.7109375" style="27" customWidth="1"/>
    <col min="11" max="11" width="12.5703125" style="27" customWidth="1"/>
    <col min="12" max="12" width="16.140625" style="27" customWidth="1"/>
    <col min="13" max="13" width="12.140625" style="27" customWidth="1"/>
    <col min="14" max="14" width="15.5703125" style="27" customWidth="1"/>
    <col min="15" max="16384" width="9.140625" style="12"/>
  </cols>
  <sheetData>
    <row r="1" spans="1:18" ht="31.5" x14ac:dyDescent="0.5">
      <c r="A1" s="32" t="s">
        <v>89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3" spans="1:18" s="15" customFormat="1" ht="116.25" x14ac:dyDescent="0.25">
      <c r="A3" s="13" t="s">
        <v>0</v>
      </c>
      <c r="B3" s="14" t="s">
        <v>81</v>
      </c>
      <c r="C3" s="14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4" t="s">
        <v>84</v>
      </c>
      <c r="K3" s="14" t="s">
        <v>8</v>
      </c>
      <c r="L3" s="14" t="s">
        <v>83</v>
      </c>
      <c r="M3" s="14" t="s">
        <v>82</v>
      </c>
      <c r="N3" s="14" t="s">
        <v>12</v>
      </c>
    </row>
    <row r="4" spans="1:18" x14ac:dyDescent="0.35">
      <c r="A4" s="16">
        <v>1</v>
      </c>
      <c r="B4" s="17" t="s">
        <v>62</v>
      </c>
      <c r="C4" s="18">
        <v>0</v>
      </c>
      <c r="D4" s="18">
        <v>0</v>
      </c>
      <c r="E4" s="18">
        <v>0</v>
      </c>
      <c r="F4" s="28">
        <f>G4/77.65</f>
        <v>51.513200257565998</v>
      </c>
      <c r="G4" s="19">
        <v>4000</v>
      </c>
      <c r="H4" s="20">
        <v>0</v>
      </c>
      <c r="I4" s="21">
        <v>0</v>
      </c>
      <c r="J4" s="21">
        <v>26</v>
      </c>
      <c r="K4" s="21">
        <v>26</v>
      </c>
      <c r="L4" s="21">
        <v>0</v>
      </c>
      <c r="M4" s="21">
        <v>26</v>
      </c>
      <c r="N4" s="22" t="s">
        <v>47</v>
      </c>
    </row>
    <row r="5" spans="1:18" x14ac:dyDescent="0.35">
      <c r="A5" s="16">
        <f>A4+1</f>
        <v>2</v>
      </c>
      <c r="B5" s="23" t="s">
        <v>63</v>
      </c>
      <c r="C5" s="18">
        <v>0</v>
      </c>
      <c r="D5" s="18">
        <v>0</v>
      </c>
      <c r="E5" s="18">
        <f>D5-C5</f>
        <v>0</v>
      </c>
      <c r="F5" s="28">
        <f t="shared" ref="F5:F6" si="0">G5/77.65</f>
        <v>64.391500321957494</v>
      </c>
      <c r="G5" s="19">
        <v>5000</v>
      </c>
      <c r="H5" s="20">
        <v>0</v>
      </c>
      <c r="I5" s="21">
        <f>E5/F5</f>
        <v>0</v>
      </c>
      <c r="J5" s="21">
        <v>26</v>
      </c>
      <c r="K5" s="21">
        <v>26</v>
      </c>
      <c r="L5" s="21">
        <v>0</v>
      </c>
      <c r="M5" s="21">
        <v>26</v>
      </c>
      <c r="N5" s="22" t="s">
        <v>47</v>
      </c>
    </row>
    <row r="6" spans="1:18" x14ac:dyDescent="0.35">
      <c r="A6" s="16">
        <v>2</v>
      </c>
      <c r="B6" s="17" t="s">
        <v>64</v>
      </c>
      <c r="C6" s="18">
        <v>0</v>
      </c>
      <c r="D6" s="18">
        <v>0</v>
      </c>
      <c r="E6" s="18">
        <f t="shared" ref="E6:E24" si="1">D6-C6</f>
        <v>0</v>
      </c>
      <c r="F6" s="28">
        <f t="shared" si="0"/>
        <v>77.26980038634899</v>
      </c>
      <c r="G6" s="19">
        <v>6000</v>
      </c>
      <c r="H6" s="20">
        <v>0</v>
      </c>
      <c r="I6" s="21">
        <f t="shared" ref="I6" si="2">E6/F6</f>
        <v>0</v>
      </c>
      <c r="J6" s="21">
        <v>26</v>
      </c>
      <c r="K6" s="21">
        <v>26</v>
      </c>
      <c r="L6" s="21">
        <v>0</v>
      </c>
      <c r="M6" s="21">
        <v>26</v>
      </c>
      <c r="N6" s="22" t="s">
        <v>47</v>
      </c>
    </row>
    <row r="7" spans="1:18" x14ac:dyDescent="0.35">
      <c r="A7" s="16">
        <f t="shared" ref="A7" si="3">A6+1</f>
        <v>3</v>
      </c>
      <c r="B7" s="23" t="s">
        <v>65</v>
      </c>
      <c r="C7" s="18">
        <v>0</v>
      </c>
      <c r="D7" s="18">
        <v>0</v>
      </c>
      <c r="E7" s="18">
        <f t="shared" si="1"/>
        <v>0</v>
      </c>
      <c r="F7" s="28">
        <f>G7/77.65</f>
        <v>0</v>
      </c>
      <c r="G7" s="19">
        <v>0</v>
      </c>
      <c r="H7" s="20">
        <v>36800</v>
      </c>
      <c r="I7" s="21">
        <v>0</v>
      </c>
      <c r="J7" s="21">
        <v>26</v>
      </c>
      <c r="K7" s="21">
        <v>26</v>
      </c>
      <c r="L7" s="21">
        <v>0</v>
      </c>
      <c r="M7" s="21">
        <v>26</v>
      </c>
      <c r="N7" s="22" t="s">
        <v>47</v>
      </c>
    </row>
    <row r="8" spans="1:18" x14ac:dyDescent="0.35">
      <c r="A8" s="16">
        <v>3</v>
      </c>
      <c r="B8" s="17" t="s">
        <v>66</v>
      </c>
      <c r="C8" s="18">
        <v>208459</v>
      </c>
      <c r="D8" s="29">
        <v>209730</v>
      </c>
      <c r="E8" s="18">
        <f t="shared" si="1"/>
        <v>1271</v>
      </c>
      <c r="F8" s="28">
        <f t="shared" ref="F8:F24" si="4">G8/77.65</f>
        <v>41.210560206052797</v>
      </c>
      <c r="G8" s="19">
        <v>3200</v>
      </c>
      <c r="H8" s="20">
        <v>892.5</v>
      </c>
      <c r="I8" s="28">
        <f>E8/F8</f>
        <v>30.841609375000004</v>
      </c>
      <c r="J8" s="21">
        <v>26</v>
      </c>
      <c r="K8" s="21">
        <v>26</v>
      </c>
      <c r="L8" s="21">
        <v>0</v>
      </c>
      <c r="M8" s="21">
        <v>26</v>
      </c>
      <c r="N8" s="22" t="s">
        <v>47</v>
      </c>
    </row>
    <row r="9" spans="1:18" x14ac:dyDescent="0.35">
      <c r="A9" s="16">
        <f t="shared" ref="A9" si="5">A8+1</f>
        <v>4</v>
      </c>
      <c r="B9" s="24" t="s">
        <v>67</v>
      </c>
      <c r="C9" s="18">
        <v>133818</v>
      </c>
      <c r="D9" s="29">
        <v>135452</v>
      </c>
      <c r="E9" s="18">
        <f t="shared" si="1"/>
        <v>1634</v>
      </c>
      <c r="F9" s="28">
        <f t="shared" si="4"/>
        <v>66.632324533161622</v>
      </c>
      <c r="G9" s="19">
        <v>5174</v>
      </c>
      <c r="H9" s="20">
        <v>9315</v>
      </c>
      <c r="I9" s="21">
        <f t="shared" ref="I9:I24" si="6">E9/F9</f>
        <v>24.522632392732895</v>
      </c>
      <c r="J9" s="21">
        <v>26</v>
      </c>
      <c r="K9" s="21">
        <v>26</v>
      </c>
      <c r="L9" s="21">
        <v>0</v>
      </c>
      <c r="M9" s="21">
        <v>26</v>
      </c>
      <c r="N9" s="22" t="s">
        <v>47</v>
      </c>
    </row>
    <row r="10" spans="1:18" hidden="1" x14ac:dyDescent="0.35">
      <c r="A10" s="16">
        <v>4</v>
      </c>
      <c r="B10" s="25" t="s">
        <v>68</v>
      </c>
      <c r="C10" s="18">
        <v>214059</v>
      </c>
      <c r="D10" s="18">
        <v>214059</v>
      </c>
      <c r="E10" s="18">
        <f t="shared" si="1"/>
        <v>0</v>
      </c>
      <c r="F10" s="28">
        <f t="shared" si="4"/>
        <v>0</v>
      </c>
      <c r="G10" s="19">
        <v>0</v>
      </c>
      <c r="H10" s="20">
        <v>0</v>
      </c>
      <c r="I10" s="21" t="e">
        <f>E10/F10</f>
        <v>#DIV/0!</v>
      </c>
      <c r="J10" s="21">
        <v>26</v>
      </c>
      <c r="K10" s="21">
        <v>26</v>
      </c>
      <c r="L10" s="21">
        <v>0</v>
      </c>
      <c r="M10" s="21">
        <v>26</v>
      </c>
      <c r="N10" s="22" t="s">
        <v>47</v>
      </c>
    </row>
    <row r="11" spans="1:18" x14ac:dyDescent="0.35">
      <c r="A11" s="16">
        <f t="shared" ref="A11" si="7">A10+1</f>
        <v>5</v>
      </c>
      <c r="B11" s="23" t="s">
        <v>69</v>
      </c>
      <c r="C11" s="18">
        <v>189252</v>
      </c>
      <c r="D11" s="29">
        <v>191994</v>
      </c>
      <c r="E11" s="18">
        <f t="shared" si="1"/>
        <v>2742</v>
      </c>
      <c r="F11" s="28">
        <f t="shared" si="4"/>
        <v>96.831938184159682</v>
      </c>
      <c r="G11" s="19">
        <v>7519</v>
      </c>
      <c r="H11" s="20">
        <v>24035.01</v>
      </c>
      <c r="I11" s="21">
        <f t="shared" si="6"/>
        <v>28.317103338209872</v>
      </c>
      <c r="J11" s="21">
        <v>26</v>
      </c>
      <c r="K11" s="21">
        <v>26</v>
      </c>
      <c r="L11" s="21">
        <v>0</v>
      </c>
      <c r="M11" s="21">
        <v>26</v>
      </c>
      <c r="N11" s="22" t="s">
        <v>47</v>
      </c>
    </row>
    <row r="12" spans="1:18" x14ac:dyDescent="0.35">
      <c r="A12" s="16">
        <v>5</v>
      </c>
      <c r="B12" s="17" t="s">
        <v>72</v>
      </c>
      <c r="C12" s="18">
        <v>94941</v>
      </c>
      <c r="D12" s="29">
        <v>97277</v>
      </c>
      <c r="E12" s="18">
        <f t="shared" si="1"/>
        <v>2336</v>
      </c>
      <c r="F12" s="28">
        <f t="shared" si="4"/>
        <v>103.026400515132</v>
      </c>
      <c r="G12" s="19">
        <v>8000</v>
      </c>
      <c r="H12" s="20">
        <v>7000</v>
      </c>
      <c r="I12" s="21">
        <f t="shared" si="6"/>
        <v>22.6738</v>
      </c>
      <c r="J12" s="21">
        <v>26</v>
      </c>
      <c r="K12" s="21">
        <v>26</v>
      </c>
      <c r="L12" s="21">
        <v>0</v>
      </c>
      <c r="M12" s="21">
        <v>26</v>
      </c>
      <c r="N12" s="22" t="s">
        <v>47</v>
      </c>
    </row>
    <row r="13" spans="1:18" x14ac:dyDescent="0.35">
      <c r="A13" s="16">
        <f t="shared" ref="A13" si="8">A12+1</f>
        <v>6</v>
      </c>
      <c r="B13" s="23" t="s">
        <v>70</v>
      </c>
      <c r="C13" s="18">
        <v>222632</v>
      </c>
      <c r="D13" s="29">
        <v>223282</v>
      </c>
      <c r="E13" s="18">
        <f t="shared" si="1"/>
        <v>650</v>
      </c>
      <c r="F13" s="28">
        <f t="shared" si="4"/>
        <v>90.392788151963927</v>
      </c>
      <c r="G13" s="19">
        <v>7019</v>
      </c>
      <c r="H13" s="20">
        <f>1400+2242.5</f>
        <v>3642.5</v>
      </c>
      <c r="I13" s="21">
        <f t="shared" si="6"/>
        <v>7.1908391508761946</v>
      </c>
      <c r="J13" s="21">
        <v>26</v>
      </c>
      <c r="K13" s="21">
        <v>26</v>
      </c>
      <c r="L13" s="21">
        <v>0</v>
      </c>
      <c r="M13" s="21">
        <v>26</v>
      </c>
      <c r="N13" s="22" t="s">
        <v>47</v>
      </c>
      <c r="R13" s="33"/>
    </row>
    <row r="14" spans="1:18" x14ac:dyDescent="0.35">
      <c r="A14" s="16">
        <v>6</v>
      </c>
      <c r="B14" s="17" t="s">
        <v>75</v>
      </c>
      <c r="C14" s="18">
        <v>92524</v>
      </c>
      <c r="D14" s="29">
        <v>93364</v>
      </c>
      <c r="E14" s="18">
        <f t="shared" si="1"/>
        <v>840</v>
      </c>
      <c r="F14" s="28">
        <f t="shared" si="4"/>
        <v>78.184159690920794</v>
      </c>
      <c r="G14" s="19">
        <v>6071</v>
      </c>
      <c r="H14" s="20">
        <v>0</v>
      </c>
      <c r="I14" s="21">
        <f t="shared" si="6"/>
        <v>10.743864272772196</v>
      </c>
      <c r="J14" s="21">
        <v>26</v>
      </c>
      <c r="K14" s="21">
        <v>26</v>
      </c>
      <c r="L14" s="21">
        <v>0</v>
      </c>
      <c r="M14" s="21">
        <v>26</v>
      </c>
      <c r="N14" s="22" t="s">
        <v>47</v>
      </c>
      <c r="R14" s="33"/>
    </row>
    <row r="15" spans="1:18" x14ac:dyDescent="0.35">
      <c r="A15" s="16">
        <f t="shared" ref="A15" si="9">A14+1</f>
        <v>7</v>
      </c>
      <c r="B15" s="25" t="s">
        <v>76</v>
      </c>
      <c r="C15" s="18">
        <v>99512</v>
      </c>
      <c r="D15" s="29">
        <v>102840</v>
      </c>
      <c r="E15" s="18">
        <f t="shared" si="1"/>
        <v>3328</v>
      </c>
      <c r="F15" s="28">
        <f t="shared" si="4"/>
        <v>130.23824855119122</v>
      </c>
      <c r="G15" s="19">
        <v>10113</v>
      </c>
      <c r="H15" s="20">
        <v>0</v>
      </c>
      <c r="I15" s="21">
        <f t="shared" si="6"/>
        <v>25.553169188173644</v>
      </c>
      <c r="J15" s="21">
        <v>26</v>
      </c>
      <c r="K15" s="21">
        <v>26</v>
      </c>
      <c r="L15" s="21">
        <v>0</v>
      </c>
      <c r="M15" s="21">
        <v>26</v>
      </c>
      <c r="N15" s="22" t="s">
        <v>47</v>
      </c>
    </row>
    <row r="16" spans="1:18" x14ac:dyDescent="0.35">
      <c r="A16" s="16">
        <v>7</v>
      </c>
      <c r="B16" s="17" t="s">
        <v>77</v>
      </c>
      <c r="C16" s="18">
        <v>3732</v>
      </c>
      <c r="D16" s="29">
        <v>5240</v>
      </c>
      <c r="E16" s="18">
        <f t="shared" si="1"/>
        <v>1508</v>
      </c>
      <c r="F16" s="28">
        <f t="shared" si="4"/>
        <v>36.574372182871855</v>
      </c>
      <c r="G16" s="19">
        <v>2840</v>
      </c>
      <c r="H16" s="20">
        <v>0</v>
      </c>
      <c r="I16" s="21">
        <f t="shared" si="6"/>
        <v>41.231056338028175</v>
      </c>
      <c r="J16" s="21">
        <v>26</v>
      </c>
      <c r="K16" s="21">
        <v>26</v>
      </c>
      <c r="L16" s="21">
        <v>0</v>
      </c>
      <c r="M16" s="21">
        <v>26</v>
      </c>
      <c r="N16" s="22" t="s">
        <v>47</v>
      </c>
    </row>
    <row r="17" spans="1:14" x14ac:dyDescent="0.35">
      <c r="A17" s="16">
        <f t="shared" ref="A17" si="10">A16+1</f>
        <v>8</v>
      </c>
      <c r="B17" s="23" t="s">
        <v>87</v>
      </c>
      <c r="C17" s="18">
        <v>10001</v>
      </c>
      <c r="D17" s="29">
        <v>12201</v>
      </c>
      <c r="E17" s="18">
        <f t="shared" si="1"/>
        <v>2200</v>
      </c>
      <c r="F17" s="28">
        <f t="shared" si="4"/>
        <v>63.412749517063745</v>
      </c>
      <c r="G17" s="19">
        <v>4924</v>
      </c>
      <c r="H17" s="20">
        <v>11845</v>
      </c>
      <c r="I17" s="21">
        <f t="shared" si="6"/>
        <v>34.693338748984566</v>
      </c>
      <c r="J17" s="21">
        <v>26</v>
      </c>
      <c r="K17" s="21">
        <v>26</v>
      </c>
      <c r="L17" s="21">
        <v>0</v>
      </c>
      <c r="M17" s="21">
        <v>26</v>
      </c>
      <c r="N17" s="22" t="s">
        <v>47</v>
      </c>
    </row>
    <row r="18" spans="1:14" x14ac:dyDescent="0.35">
      <c r="A18" s="16">
        <v>8</v>
      </c>
      <c r="B18" s="23" t="s">
        <v>79</v>
      </c>
      <c r="C18" s="18">
        <v>45080</v>
      </c>
      <c r="D18" s="29">
        <v>48144</v>
      </c>
      <c r="E18" s="18">
        <f t="shared" si="1"/>
        <v>3064</v>
      </c>
      <c r="F18" s="28">
        <f t="shared" si="4"/>
        <v>112.21635544108177</v>
      </c>
      <c r="G18" s="19">
        <v>8713.6</v>
      </c>
      <c r="H18" s="20">
        <v>0</v>
      </c>
      <c r="I18" s="21">
        <f t="shared" si="6"/>
        <v>27.304397723099523</v>
      </c>
      <c r="J18" s="21">
        <v>26</v>
      </c>
      <c r="K18" s="21">
        <v>26</v>
      </c>
      <c r="L18" s="21">
        <v>0</v>
      </c>
      <c r="M18" s="21">
        <v>26</v>
      </c>
      <c r="N18" s="22" t="s">
        <v>47</v>
      </c>
    </row>
    <row r="19" spans="1:14" x14ac:dyDescent="0.35">
      <c r="A19" s="16">
        <f t="shared" ref="A19" si="11">A18+1</f>
        <v>9</v>
      </c>
      <c r="B19" s="23" t="s">
        <v>73</v>
      </c>
      <c r="C19" s="18">
        <v>35699</v>
      </c>
      <c r="D19" s="29">
        <v>36965</v>
      </c>
      <c r="E19" s="18">
        <f t="shared" si="1"/>
        <v>1266</v>
      </c>
      <c r="F19" s="28">
        <f t="shared" si="4"/>
        <v>60.038634900193173</v>
      </c>
      <c r="G19" s="19">
        <v>4662</v>
      </c>
      <c r="H19" s="20">
        <v>0</v>
      </c>
      <c r="I19" s="21">
        <f t="shared" si="6"/>
        <v>21.086422136422136</v>
      </c>
      <c r="J19" s="21">
        <v>26</v>
      </c>
      <c r="K19" s="21">
        <v>26</v>
      </c>
      <c r="L19" s="21">
        <v>0</v>
      </c>
      <c r="M19" s="21">
        <v>26</v>
      </c>
      <c r="N19" s="22" t="s">
        <v>47</v>
      </c>
    </row>
    <row r="20" spans="1:14" x14ac:dyDescent="0.35">
      <c r="A20" s="16">
        <v>9</v>
      </c>
      <c r="B20" s="23" t="s">
        <v>86</v>
      </c>
      <c r="C20" s="18">
        <f>D20-220</f>
        <v>59562</v>
      </c>
      <c r="D20" s="29">
        <v>59782</v>
      </c>
      <c r="E20" s="18">
        <f t="shared" si="1"/>
        <v>220</v>
      </c>
      <c r="F20" s="28">
        <f t="shared" si="4"/>
        <v>15.994848679974242</v>
      </c>
      <c r="G20" s="19">
        <v>1242</v>
      </c>
      <c r="H20" s="20">
        <v>0</v>
      </c>
      <c r="I20" s="21">
        <f t="shared" si="6"/>
        <v>13.754428341384864</v>
      </c>
      <c r="J20" s="21">
        <v>26</v>
      </c>
      <c r="K20" s="21">
        <v>26</v>
      </c>
      <c r="L20" s="21">
        <v>0</v>
      </c>
      <c r="M20" s="21">
        <v>26</v>
      </c>
      <c r="N20" s="22" t="s">
        <v>47</v>
      </c>
    </row>
    <row r="21" spans="1:14" x14ac:dyDescent="0.35">
      <c r="A21" s="16">
        <f t="shared" ref="A21" si="12">A20+1</f>
        <v>10</v>
      </c>
      <c r="B21" s="23" t="s">
        <v>88</v>
      </c>
      <c r="C21" s="18">
        <v>0</v>
      </c>
      <c r="D21" s="18">
        <v>0</v>
      </c>
      <c r="E21" s="18">
        <v>0</v>
      </c>
      <c r="F21" s="28">
        <f t="shared" si="4"/>
        <v>0</v>
      </c>
      <c r="G21" s="19">
        <v>0</v>
      </c>
      <c r="H21" s="20">
        <v>13500</v>
      </c>
      <c r="I21" s="21">
        <v>0</v>
      </c>
      <c r="J21" s="21"/>
      <c r="K21" s="21"/>
      <c r="L21" s="21"/>
      <c r="M21" s="21"/>
      <c r="N21" s="22"/>
    </row>
    <row r="22" spans="1:14" hidden="1" x14ac:dyDescent="0.35">
      <c r="A22" s="16">
        <v>10</v>
      </c>
      <c r="B22" s="25" t="s">
        <v>71</v>
      </c>
      <c r="C22" s="18">
        <v>0</v>
      </c>
      <c r="D22" s="18">
        <v>0</v>
      </c>
      <c r="E22" s="18">
        <f t="shared" si="1"/>
        <v>0</v>
      </c>
      <c r="F22" s="28">
        <f t="shared" si="4"/>
        <v>0</v>
      </c>
      <c r="G22" s="19">
        <v>0</v>
      </c>
      <c r="H22" s="20">
        <v>0</v>
      </c>
      <c r="I22" s="21">
        <v>0</v>
      </c>
      <c r="J22" s="21">
        <v>26</v>
      </c>
      <c r="K22" s="21">
        <v>26</v>
      </c>
      <c r="L22" s="21">
        <v>0</v>
      </c>
      <c r="M22" s="21">
        <v>26</v>
      </c>
      <c r="N22" s="22" t="s">
        <v>47</v>
      </c>
    </row>
    <row r="23" spans="1:14" x14ac:dyDescent="0.35">
      <c r="A23" s="16">
        <f t="shared" ref="A23" si="13">A22+1</f>
        <v>11</v>
      </c>
      <c r="B23" s="24" t="s">
        <v>74</v>
      </c>
      <c r="C23" s="29">
        <v>19688</v>
      </c>
      <c r="D23" s="29">
        <v>20058</v>
      </c>
      <c r="E23" s="18">
        <f t="shared" si="1"/>
        <v>370</v>
      </c>
      <c r="F23" s="28">
        <f t="shared" si="4"/>
        <v>57.823567289117833</v>
      </c>
      <c r="G23" s="19">
        <v>4490</v>
      </c>
      <c r="H23" s="20">
        <v>4000</v>
      </c>
      <c r="I23" s="21">
        <f t="shared" si="6"/>
        <v>6.3987750556792875</v>
      </c>
      <c r="J23" s="21">
        <v>26</v>
      </c>
      <c r="K23" s="21">
        <v>26</v>
      </c>
      <c r="L23" s="21">
        <v>0</v>
      </c>
      <c r="M23" s="21">
        <v>26</v>
      </c>
      <c r="N23" s="22" t="s">
        <v>47</v>
      </c>
    </row>
    <row r="24" spans="1:14" x14ac:dyDescent="0.35">
      <c r="A24" s="16">
        <v>11</v>
      </c>
      <c r="B24" s="24" t="s">
        <v>85</v>
      </c>
      <c r="C24" s="29">
        <v>50259</v>
      </c>
      <c r="D24" s="29">
        <v>50660</v>
      </c>
      <c r="E24" s="18">
        <f t="shared" si="1"/>
        <v>401</v>
      </c>
      <c r="F24" s="28">
        <f t="shared" si="4"/>
        <v>61.04314230521571</v>
      </c>
      <c r="G24" s="19">
        <v>4740</v>
      </c>
      <c r="H24" s="20">
        <v>0</v>
      </c>
      <c r="I24" s="21">
        <f t="shared" si="6"/>
        <v>6.56912447257384</v>
      </c>
      <c r="J24" s="21">
        <v>26</v>
      </c>
      <c r="K24" s="21">
        <v>26</v>
      </c>
      <c r="L24" s="21">
        <v>0</v>
      </c>
      <c r="M24" s="21">
        <v>26</v>
      </c>
      <c r="N24" s="22" t="s">
        <v>47</v>
      </c>
    </row>
  </sheetData>
  <mergeCells count="1">
    <mergeCell ref="A1:N1"/>
  </mergeCells>
  <dataValidations count="1">
    <dataValidation type="list" allowBlank="1" showInputMessage="1" showErrorMessage="1" sqref="N4:N24" xr:uid="{00000000-0002-0000-0200-000000000000}">
      <formula1>"Very Good , Excellent , Good , Poor"</formula1>
    </dataValidation>
  </dataValidations>
  <pageMargins left="0.7" right="0.7" top="0.75" bottom="0.75" header="0.3" footer="0.3"/>
  <pageSetup scale="3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7:F15"/>
  <sheetViews>
    <sheetView workbookViewId="0">
      <selection activeCell="G17" sqref="G17"/>
    </sheetView>
  </sheetViews>
  <sheetFormatPr defaultRowHeight="15" x14ac:dyDescent="0.25"/>
  <sheetData>
    <row r="7" spans="4:6" x14ac:dyDescent="0.25">
      <c r="D7">
        <v>4654</v>
      </c>
      <c r="F7">
        <v>10</v>
      </c>
    </row>
    <row r="8" spans="4:6" x14ac:dyDescent="0.25">
      <c r="F8">
        <v>2</v>
      </c>
    </row>
    <row r="9" spans="4:6" x14ac:dyDescent="0.25">
      <c r="F9">
        <v>3</v>
      </c>
    </row>
    <row r="10" spans="4:6" x14ac:dyDescent="0.25">
      <c r="F10">
        <v>4</v>
      </c>
    </row>
    <row r="11" spans="4:6" x14ac:dyDescent="0.25">
      <c r="F11">
        <v>11</v>
      </c>
    </row>
    <row r="12" spans="4:6" x14ac:dyDescent="0.25">
      <c r="F12">
        <v>6</v>
      </c>
    </row>
    <row r="13" spans="4:6" x14ac:dyDescent="0.25">
      <c r="F13">
        <v>7</v>
      </c>
    </row>
    <row r="14" spans="4:6" x14ac:dyDescent="0.25">
      <c r="F14">
        <v>8</v>
      </c>
    </row>
    <row r="15" spans="4:6" x14ac:dyDescent="0.25">
      <c r="F15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 May Fleet Repo detail</vt:lpstr>
      <vt:lpstr>May Fleet Repo Summery</vt:lpstr>
      <vt:lpstr>November</vt:lpstr>
      <vt:lpstr>Sheet1</vt:lpstr>
      <vt:lpstr>'May Fleet Repo Summery'!Print_Area</vt:lpstr>
      <vt:lpstr>November!Print_Area</vt:lpstr>
    </vt:vector>
  </TitlesOfParts>
  <Company>SNV Netherlands Development Organisation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SNV</dc:creator>
  <cp:lastModifiedBy>Ephrem Adane</cp:lastModifiedBy>
  <cp:lastPrinted>2023-11-13T23:04:55Z</cp:lastPrinted>
  <dcterms:created xsi:type="dcterms:W3CDTF">2023-06-03T15:11:24Z</dcterms:created>
  <dcterms:modified xsi:type="dcterms:W3CDTF">2023-12-16T06:29:38Z</dcterms:modified>
</cp:coreProperties>
</file>